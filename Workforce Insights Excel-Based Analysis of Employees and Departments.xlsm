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ud\OneDrive\Desktop\"/>
    </mc:Choice>
  </mc:AlternateContent>
  <xr:revisionPtr revIDLastSave="0" documentId="8_{2B7BE832-1BBE-4AC5-8693-20D6AD7A80BA}" xr6:coauthVersionLast="47" xr6:coauthVersionMax="47" xr10:uidLastSave="{00000000-0000-0000-0000-000000000000}"/>
  <bookViews>
    <workbookView xWindow="-108" yWindow="-108" windowWidth="23256" windowHeight="12456" firstSheet="2" activeTab="7" xr2:uid="{00000000-000D-0000-FFFF-FFFF00000000}"/>
  </bookViews>
  <sheets>
    <sheet name="1.conditional format" sheetId="1" r:id="rId1"/>
    <sheet name="2.data validation" sheetId="3" r:id="rId2"/>
    <sheet name="3.power query" sheetId="12" r:id="rId3"/>
    <sheet name="4.data model" sheetId="5" r:id="rId4"/>
    <sheet name="5.total and avg salary" sheetId="15" r:id="rId5"/>
    <sheet name="6.data table" sheetId="6" r:id="rId6"/>
    <sheet name="7.sales department" sheetId="7" r:id="rId7"/>
    <sheet name="8.macro" sheetId="8" r:id="rId8"/>
    <sheet name="9.named range" sheetId="9" r:id="rId9"/>
    <sheet name="10.CONDITIONAL FORMAT " sheetId="10" r:id="rId10"/>
  </sheets>
  <externalReferences>
    <externalReference r:id="rId11"/>
  </externalReferences>
  <definedNames>
    <definedName name="_xlnm._FilterDatabase" localSheetId="6" hidden="1">'7.sales department'!$K$1:$K$41</definedName>
    <definedName name="_xlcn.WorksheetConnection_employees.xlsxTable31" hidden="1">Table3[]</definedName>
    <definedName name="salary">'9.named range'!$H$2:$H$41</definedName>
  </definedNames>
  <calcPr calcId="191029"/>
  <pivotCaches>
    <pivotCache cacheId="0" r:id="rId12"/>
    <pivotCache cacheId="1" r:id="rId13"/>
  </pivotCaches>
  <extLst>
    <ext xmlns:x15="http://schemas.microsoft.com/office/spreadsheetml/2010/11/main" uri="{FCE2AD5D-F65C-4FA6-A056-5C36A1767C68}">
      <x15:dataModel>
        <x15:modelTables>
          <x15:modelTable id="departments_5ded9ef7-ab2b-4b64-9681-f12aa1df90ad" name="departments" connection="Excel departments 1"/>
          <x15:modelTable id="Table3" name="Table3" connection="WorksheetConnection_employees.xlsx!Table3"/>
        </x15:modelTables>
        <x15:modelRelationships>
          <x15:modelRelationship fromTable="Table3" fromColumn="department_id" toTable="departments" toColumn="department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4" roundtripDataChecksum="YLWyCVbftKs2cHmKoJxI/OP0YWomXK6ERgjXe4BPNnY="/>
    </ext>
  </extLst>
</workbook>
</file>

<file path=xl/calcChain.xml><?xml version="1.0" encoding="utf-8"?>
<calcChain xmlns="http://schemas.openxmlformats.org/spreadsheetml/2006/main">
  <c r="K2" i="10" l="1" a="1"/>
  <c r="K2" i="10" s="1"/>
  <c r="L5" i="9"/>
  <c r="K2" i="7" a="1"/>
  <c r="K2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84E99F-FB9D-4D91-9F0A-B1A839AFAB09}" name="Excel departments 1" type="100" refreshedVersion="0">
    <extLst>
      <ext xmlns:x15="http://schemas.microsoft.com/office/spreadsheetml/2010/11/main" uri="{DE250136-89BD-433C-8126-D09CA5730AF9}">
        <x15:connection id="9419d98e-4c8a-41ba-b5d6-ed2d1f39cfd2"/>
      </ext>
    </extLst>
  </connection>
  <connection id="2" xr16:uid="{5E9D9511-D3DB-40D3-8269-1D2B092178CA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3" xr16:uid="{43835939-1C8C-489D-9C59-0169BB9CAEAE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F93F3569-5C99-466D-BCBC-8692D704CA48}" name="WorksheetConnection_employees.xlsx!Table3" type="102" refreshedVersion="8" minRefreshableVersion="5">
    <extLst>
      <ext xmlns:x15="http://schemas.microsoft.com/office/spreadsheetml/2010/11/main" uri="{DE250136-89BD-433C-8126-D09CA5730AF9}">
        <x15:connection id="Table3">
          <x15:rangePr sourceName="_xlcn.WorksheetConnection_employees.xlsx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<sst xmlns="http://schemas.openxmlformats.org/spreadsheetml/2006/main" count="1511" uniqueCount="263">
  <si>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</si>
  <si>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</si>
  <si>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</si>
  <si>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</si>
  <si>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</si>
  <si>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</si>
  <si>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</si>
  <si>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</si>
  <si>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</si>
  <si>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</si>
  <si>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</si>
  <si>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</si>
  <si>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</si>
  <si>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</si>
  <si>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</si>
  <si>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</si>
  <si>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</si>
  <si>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</si>
  <si>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</si>
  <si>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</si>
  <si>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</si>
  <si>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</si>
  <si>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</si>
  <si>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</si>
  <si>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</si>
  <si>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</si>
  <si>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</si>
  <si>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</si>
  <si>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</si>
  <si>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</si>
  <si>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</si>
  <si>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</si>
  <si>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</si>
  <si>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</si>
  <si>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</si>
  <si>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</si>
  <si>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</si>
  <si>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</si>
  <si>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</si>
  <si>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</si>
  <si>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</si>
  <si>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</si>
  <si>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</si>
  <si>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</si>
  <si>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</si>
  <si>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</si>
  <si>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</si>
  <si>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</si>
  <si>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</si>
  <si>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</si>
  <si>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</si>
  <si>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</si>
  <si>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</si>
  <si>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</si>
  <si>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</si>
  <si>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</si>
  <si>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</si>
  <si>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</si>
  <si>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</si>
  <si>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</si>
  <si>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</si>
  <si>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</si>
  <si>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</si>
  <si>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</si>
  <si>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</si>
  <si>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</si>
  <si>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</si>
  <si>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</si>
  <si>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</si>
  <si>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</si>
  <si>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</si>
  <si>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</si>
  <si>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</si>
  <si>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</si>
  <si>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</si>
  <si>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</si>
  <si>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</si>
  <si>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</si>
  <si>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</si>
  <si>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</si>
  <si>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</si>
  <si>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</si>
  <si>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</si>
  <si>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</si>
  <si>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</si>
  <si>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</si>
  <si>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</si>
  <si>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</si>
  <si>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</si>
  <si>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</si>
  <si>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</si>
  <si>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</si>
  <si>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</si>
  <si>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</si>
  <si>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</si>
  <si>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</si>
  <si>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</si>
  <si>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</si>
  <si>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</si>
  <si>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</si>
  <si>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</si>
  <si>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</si>
  <si>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</si>
  <si>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</si>
  <si>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</si>
  <si>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</si>
  <si>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</si>
  <si>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</si>
  <si>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</si>
  <si>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</si>
  <si>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</si>
  <si>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</si>
  <si>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</si>
  <si>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</si>
  <si>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</si>
  <si>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</si>
  <si>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</si>
  <si>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</si>
  <si>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</si>
  <si>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</si>
  <si>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</si>
  <si>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</si>
  <si>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</si>
  <si>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</si>
  <si>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</si>
  <si>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</si>
  <si>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</si>
  <si>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</si>
  <si>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</si>
  <si>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</si>
  <si>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</si>
  <si>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</si>
  <si>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</si>
  <si>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</si>
  <si>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</si>
  <si>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</si>
  <si>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</si>
  <si>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</si>
  <si>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</si>
  <si>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</si>
  <si>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</si>
  <si>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</si>
  <si>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</si>
  <si>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</si>
  <si>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</si>
  <si>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</si>
  <si>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</si>
  <si>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</si>
  <si>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</si>
  <si>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</si>
  <si>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</si>
  <si>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</si>
  <si>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</si>
  <si>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</si>
  <si>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</si>
  <si>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</si>
  <si>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</si>
  <si>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</si>
  <si>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</si>
  <si>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</si>
  <si>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</si>
  <si>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t>department_name</t>
  </si>
  <si>
    <t>location_id</t>
  </si>
  <si>
    <t>Administration</t>
  </si>
  <si>
    <t>Marketing</t>
  </si>
  <si>
    <t>Purchasing</t>
  </si>
  <si>
    <t>Human Resources</t>
  </si>
  <si>
    <t>Shipping</t>
  </si>
  <si>
    <t>IT</t>
  </si>
  <si>
    <t>Public Relations</t>
  </si>
  <si>
    <t>Sales</t>
  </si>
  <si>
    <t>Executive</t>
  </si>
  <si>
    <t>Finance</t>
  </si>
  <si>
    <t>Accounting</t>
  </si>
  <si>
    <t>full name</t>
  </si>
  <si>
    <t>name from email</t>
  </si>
  <si>
    <t>Steven King</t>
  </si>
  <si>
    <t>steven.king</t>
  </si>
  <si>
    <t>Neena Kochhar</t>
  </si>
  <si>
    <t>neena.kochhar</t>
  </si>
  <si>
    <t>Lex De Haan</t>
  </si>
  <si>
    <t>lex.de haan</t>
  </si>
  <si>
    <t>Alexander Hunold</t>
  </si>
  <si>
    <t>alexander.hunold</t>
  </si>
  <si>
    <t>Bruce Ernst</t>
  </si>
  <si>
    <t>bruce.ernst</t>
  </si>
  <si>
    <t>David Austin</t>
  </si>
  <si>
    <t>david.austin</t>
  </si>
  <si>
    <t>Valli Pataballa</t>
  </si>
  <si>
    <t>valli.pataballa</t>
  </si>
  <si>
    <t>Diana Lorentz</t>
  </si>
  <si>
    <t>diana.lorentz</t>
  </si>
  <si>
    <t>Nancy Greenberg</t>
  </si>
  <si>
    <t>nancy.greenberg</t>
  </si>
  <si>
    <t>Daniel Faviet</t>
  </si>
  <si>
    <t>daniel.faviet</t>
  </si>
  <si>
    <t>John Chen</t>
  </si>
  <si>
    <t>john.chen</t>
  </si>
  <si>
    <t>Ismael Sciarra</t>
  </si>
  <si>
    <t>ismael.sciarra</t>
  </si>
  <si>
    <t>Jose Manuel Urman</t>
  </si>
  <si>
    <t>jose manuel.urman</t>
  </si>
  <si>
    <t>Luis Popp</t>
  </si>
  <si>
    <t>luis.popp</t>
  </si>
  <si>
    <t>Den Raphaely</t>
  </si>
  <si>
    <t>den.raphaely</t>
  </si>
  <si>
    <t>Alexander Khoo</t>
  </si>
  <si>
    <t>alexander.khoo</t>
  </si>
  <si>
    <t>Shelli Baida</t>
  </si>
  <si>
    <t>shelli.baida</t>
  </si>
  <si>
    <t>Sigal Tobias</t>
  </si>
  <si>
    <t>sigal.tobias</t>
  </si>
  <si>
    <t>Guy Himuro</t>
  </si>
  <si>
    <t>guy.himuro</t>
  </si>
  <si>
    <t>Karen Colmenares</t>
  </si>
  <si>
    <t>karen.colmenares</t>
  </si>
  <si>
    <t>Matthew Weiss</t>
  </si>
  <si>
    <t>matthew.weiss</t>
  </si>
  <si>
    <t>Adam Fripp</t>
  </si>
  <si>
    <t>adam.fripp</t>
  </si>
  <si>
    <t>Payam Kaufling</t>
  </si>
  <si>
    <t>payam.kaufling</t>
  </si>
  <si>
    <t>Shanta Vollman</t>
  </si>
  <si>
    <t>shanta.vollman</t>
  </si>
  <si>
    <t>Irene Mikkilineni</t>
  </si>
  <si>
    <t>irene.mikkilineni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</si>
  <si>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</si>
  <si>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</si>
  <si>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</si>
  <si>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</si>
  <si>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</si>
  <si>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</si>
  <si>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</si>
  <si>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</si>
  <si>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</si>
  <si>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</si>
  <si>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</si>
  <si>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</si>
  <si>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</si>
  <si>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</si>
  <si>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Britney Everett</t>
  </si>
  <si>
    <t>britney.everett</t>
  </si>
  <si>
    <t>Jennifer Whalen</t>
  </si>
  <si>
    <t>jennifer.whalen</t>
  </si>
  <si>
    <t>Michael Hartstein</t>
  </si>
  <si>
    <t>michael.hartstein</t>
  </si>
  <si>
    <t>Pat Fay</t>
  </si>
  <si>
    <t>pat.fay</t>
  </si>
  <si>
    <t>Susan Mavris</t>
  </si>
  <si>
    <t>susan.mavris</t>
  </si>
  <si>
    <t>Hermann Baer</t>
  </si>
  <si>
    <t>hermann.baer</t>
  </si>
  <si>
    <t>Shelley Higgins</t>
  </si>
  <si>
    <t>shelley.higgins</t>
  </si>
  <si>
    <t>William Gietz</t>
  </si>
  <si>
    <t>william.gietz</t>
  </si>
  <si>
    <t>Row Labels</t>
  </si>
  <si>
    <t>Grand Total</t>
  </si>
  <si>
    <t>Sum of salary</t>
  </si>
  <si>
    <t>Average of salary</t>
  </si>
  <si>
    <t>depatment names</t>
  </si>
  <si>
    <t xml:space="preserve">average salary using named range </t>
  </si>
  <si>
    <t xml:space="preserve">department name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</si>
</sst>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9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ptos Narrow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3" fillId="0" borderId="0" xfId="0" applyFont="1"/>
    <xf numFmtId="0" fontId="4" fillId="0" borderId="0" xfId="0" applyFont="1"/>
    <xf numFmtId="14" fontId="5" fillId="0" borderId="0" xfId="0" applyNumberFormat="1" applyFont="1"/>
    <xf numFmtId="22" fontId="0" fillId="0" borderId="0" xfId="0" applyNumberFormat="1"/>
    <xf numFmtId="0" fontId="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2" fillId="0" borderId="0" xfId="0" applyFont="1"/>
    <xf numFmtId="0" fontId="7" fillId="0" borderId="0" xfId="1"/>
    <xf numFmtId="0" fontId="8" fillId="2" borderId="0" xfId="0" applyFont="1" applyFill="1"/>
    <xf numFmtId="0" fontId="4" fillId="3" borderId="0" xfId="0" applyFont="1" applyFill="1"/>
    <xf numFmtId="0" fontId="0" fillId="0" borderId="0" xfId="0" applyFont="1"/>
    <xf numFmtId="0" fontId="1" fillId="0" borderId="0" xfId="0" applyFont="1"/>
    <xf numFmtId="14" fontId="0" fillId="0" borderId="0" xfId="0" applyNumberFormat="1"/>
  </cellXfs>
  <cellStyles count="2">
    <cellStyle name="Hyperlink" xfId="1" builtinId="8"/>
    <cellStyle name="Normal" xfId="0" builtinId="0"/>
  </cellStyles>
  <dxfs count="31"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[ASSIGNMENT2.xlsm]5.total and avg salary!PivotTable4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'5.total and avg salary'!$C$3</c:f>
              <c:strCache>
                <c:ptCount val="1"/>
                <c:pt idx="0">
                  <c:v>Sum of 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'5.total and avg salary'!$B$4:$B$15</c:f>
              <c:strCache>
                <c:ptCount val="11"/>
                <c:pt idx="0">
                  <c:v>Accounting</c:v>
                </c:pt>
                <c:pt idx="1">
                  <c:v>Administration</c:v>
                </c:pt>
                <c:pt idx="2">
                  <c:v>Executive</c:v>
                </c:pt>
                <c:pt idx="3">
                  <c:v>Finance</c:v>
                </c:pt>
                <c:pt idx="4">
                  <c:v>Human Resources</c:v>
                </c:pt>
                <c:pt idx="5">
                  <c:v>IT</c:v>
                </c:pt>
                <c:pt idx="6">
                  <c:v>Marketing</c:v>
                </c:pt>
                <c:pt idx="7">
                  <c:v>Public Relations</c:v>
                </c:pt>
                <c:pt idx="8">
                  <c:v>Purchasing</c:v>
                </c:pt>
                <c:pt idx="9">
                  <c:v>Sales</c:v>
                </c:pt>
                <c:pt idx="10">
                  <c:v>Shipping</c:v>
                </c:pt>
              </c:strCache>
            </c:strRef>
          </c:cat>
          <c:val>
            <c:numRef>
              <c:f>'5.total and avg salary'!$C$4:$C$15</c:f>
              <c:numCache>
                <c:formatCode>"₹"\ #,##0.00</c:formatCode>
                <c:ptCount val="11"/>
                <c:pt idx="0">
                  <c:v>20300</c:v>
                </c:pt>
                <c:pt idx="1">
                  <c:v>4400</c:v>
                </c:pt>
                <c:pt idx="2">
                  <c:v>58000</c:v>
                </c:pt>
                <c:pt idx="3">
                  <c:v>51600</c:v>
                </c:pt>
                <c:pt idx="4">
                  <c:v>6500</c:v>
                </c:pt>
                <c:pt idx="5">
                  <c:v>28800</c:v>
                </c:pt>
                <c:pt idx="6">
                  <c:v>19000</c:v>
                </c:pt>
                <c:pt idx="7">
                  <c:v>10000</c:v>
                </c:pt>
                <c:pt idx="8">
                  <c:v>24900</c:v>
                </c:pt>
                <c:pt idx="9">
                  <c:v>57700</c:v>
                </c:pt>
                <c:pt idx="10">
                  <c:v>41200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DB-43C0-A1B2-85177A4E0219}"/>
            </c:ext>
          </c:extLst>
        </c:ser>
        <c:ser>
          <c:idx val="1"/>
          <c:order val="1"/>
          <c:tx>
            <c:strRef>
              <c:f>'5.total and avg salary'!$D$3</c:f>
              <c:strCache>
                <c:ptCount val="1"/>
                <c:pt idx="0">
                  <c:v>Average of salary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'5.total and avg salary'!$B$4:$B$15</c:f>
              <c:strCache>
                <c:ptCount val="11"/>
                <c:pt idx="0">
                  <c:v>Accounting</c:v>
                </c:pt>
                <c:pt idx="1">
                  <c:v>Administration</c:v>
                </c:pt>
                <c:pt idx="2">
                  <c:v>Executive</c:v>
                </c:pt>
                <c:pt idx="3">
                  <c:v>Finance</c:v>
                </c:pt>
                <c:pt idx="4">
                  <c:v>Human Resources</c:v>
                </c:pt>
                <c:pt idx="5">
                  <c:v>IT</c:v>
                </c:pt>
                <c:pt idx="6">
                  <c:v>Marketing</c:v>
                </c:pt>
                <c:pt idx="7">
                  <c:v>Public Relations</c:v>
                </c:pt>
                <c:pt idx="8">
                  <c:v>Purchasing</c:v>
                </c:pt>
                <c:pt idx="9">
                  <c:v>Sales</c:v>
                </c:pt>
                <c:pt idx="10">
                  <c:v>Shipping</c:v>
                </c:pt>
              </c:strCache>
            </c:strRef>
          </c:cat>
          <c:val>
            <c:numRef>
              <c:f>'5.total and avg salary'!$D$4:$D$15</c:f>
              <c:numCache>
                <c:formatCode>"₹"\ #,##0.00</c:formatCode>
                <c:ptCount val="11"/>
                <c:pt idx="0">
                  <c:v>10150</c:v>
                </c:pt>
                <c:pt idx="1">
                  <c:v>4400</c:v>
                </c:pt>
                <c:pt idx="2">
                  <c:v>19333.333333333332</c:v>
                </c:pt>
                <c:pt idx="3">
                  <c:v>8600</c:v>
                </c:pt>
                <c:pt idx="4">
                  <c:v>6500</c:v>
                </c:pt>
                <c:pt idx="5">
                  <c:v>5760</c:v>
                </c:pt>
                <c:pt idx="6">
                  <c:v>9500</c:v>
                </c:pt>
                <c:pt idx="7">
                  <c:v>10000</c:v>
                </c:pt>
                <c:pt idx="8">
                  <c:v>4150</c:v>
                </c:pt>
                <c:pt idx="9">
                  <c:v>9616.6666666666661</c:v>
                </c:pt>
                <c:pt idx="10">
                  <c:v>5885.7142857142853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DB-43C0-A1B2-85177A4E0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6071519"/>
        <c:axId val="1056072479"/>
      </c:barChart>
      <c:catAx>
        <c:axId val="105607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072479"/>
        <c:crosses val="autoZero"/>
        <c:auto val="1"/>
        <c:lblAlgn val="ctr"/>
        <c:lblOffset val="100"/>
        <c:noMultiLvlLbl val="0"/>
      </c:catAx>
      <c:valAx>
        <c:axId val="10560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07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3</xdr:row>
      <xdr:rowOff>179070</xdr:rowOff>
    </xdr:from>
    <xdr:to>
      <xdr:col>13</xdr:col>
      <xdr:colOff>0</xdr:colOff>
      <xdr:row>18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F8811D-CCDF-16A0-9818-C6BE3E23E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</xdr:colOff>
      <xdr:row>1</xdr:row>
      <xdr:rowOff>7620</xdr:rowOff>
    </xdr:from>
    <xdr:to>
      <xdr:col>13</xdr:col>
      <xdr:colOff>76200</xdr:colOff>
      <xdr:row>2</xdr:row>
      <xdr:rowOff>152400</xdr:rowOff>
    </xdr:to>
    <xdr:sp macro="[0]!addnewemploye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8642755-BE14-EDC3-8633-E866181BFC12}"/>
            </a:ext>
          </a:extLst>
        </xdr:cNvPr>
        <xdr:cNvSpPr/>
      </xdr:nvSpPr>
      <xdr:spPr>
        <a:xfrm>
          <a:off x="9075420" y="190500"/>
          <a:ext cx="1264920" cy="32766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addnewemplyee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ud\Downloads\departments%20(1).xlsx" TargetMode="External"/><Relationship Id="rId1" Type="http://schemas.openxmlformats.org/officeDocument/2006/relationships/externalLinkPath" Target="file:///C:\Users\chaud\Downloads\departments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partments"/>
    </sheetNames>
    <sheetDataSet>
      <sheetData sheetId="0">
        <row r="2">
          <cell r="A2">
            <v>1</v>
          </cell>
          <cell r="B2" t="str">
            <v>Administration</v>
          </cell>
        </row>
        <row r="3">
          <cell r="A3">
            <v>2</v>
          </cell>
          <cell r="B3" t="str">
            <v>Marketing</v>
          </cell>
        </row>
        <row r="4">
          <cell r="A4">
            <v>3</v>
          </cell>
          <cell r="B4" t="str">
            <v>Purchasing</v>
          </cell>
        </row>
        <row r="5">
          <cell r="A5">
            <v>4</v>
          </cell>
          <cell r="B5" t="str">
            <v>Human Resources</v>
          </cell>
        </row>
        <row r="6">
          <cell r="A6">
            <v>5</v>
          </cell>
          <cell r="B6" t="str">
            <v>Shipping</v>
          </cell>
        </row>
        <row r="7">
          <cell r="A7">
            <v>6</v>
          </cell>
          <cell r="B7" t="str">
            <v>IT</v>
          </cell>
        </row>
        <row r="8">
          <cell r="A8">
            <v>7</v>
          </cell>
          <cell r="B8" t="str">
            <v>Public Relations</v>
          </cell>
        </row>
        <row r="9">
          <cell r="A9">
            <v>8</v>
          </cell>
          <cell r="B9" t="str">
            <v>Sales</v>
          </cell>
        </row>
        <row r="10">
          <cell r="A10">
            <v>9</v>
          </cell>
          <cell r="B10" t="str">
            <v>Executive</v>
          </cell>
        </row>
        <row r="11">
          <cell r="A11">
            <v>10</v>
          </cell>
          <cell r="B11" t="str">
            <v>Finance</v>
          </cell>
        </row>
        <row r="12">
          <cell r="A12">
            <v>11</v>
          </cell>
          <cell r="B12" t="str">
            <v>Accounting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ran chaudhary" refreshedDate="45755.840115740742" createdVersion="8" refreshedVersion="8" minRefreshableVersion="3" recordCount="0" supportSubquery="1" supportAdvancedDrill="1" xr:uid="{029DDB88-0E4C-4754-9922-DAE1886BDA39}">
  <cacheSource type="external" connectionId="3"/>
  <cacheFields count="2">
    <cacheField name="[departments].[department_id].[department_id]" caption="department_id" numFmtId="0" level="1">
      <sharedItems containsSemiMixedTypes="0" containsString="0" containsNumber="1" containsInteger="1" minValue="1" maxValue="11" count="11">
        <n v="1"/>
        <n v="2"/>
        <n v="3"/>
        <n v="4"/>
        <n v="5"/>
        <n v="6"/>
        <n v="7"/>
        <n v="8"/>
        <n v="9"/>
        <n v="10"/>
        <n v="11"/>
      </sharedItems>
    </cacheField>
    <cacheField name="[Measures].[Sum of salary]" caption="Sum of salary" numFmtId="0" hierarchy="16" level="32767"/>
  </cacheFields>
  <cacheHierarchies count="18">
    <cacheHierarchy uniqueName="[departments].[department_id]" caption="department_id" attribute="1" defaultMemberUniqueName="[departments].[department_id].[All]" allUniqueName="[departments].[department_id].[All]" dimensionUniqueName="[departments]" displayFolder="" count="2" memberValueDatatype="5" unbalanced="0">
      <fieldsUsage count="2">
        <fieldUsage x="-1"/>
        <fieldUsage x="0"/>
      </fieldsUsage>
    </cacheHierarchy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0" memberValueDatatype="130" unbalanced="0"/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5" unbalanced="0"/>
    <cacheHierarchy uniqueName="[Table3].[employee_id]" caption="employee_id" attribute="1" defaultMemberUniqueName="[Table3].[employee_id].[All]" allUniqueName="[Table3].[employee_id].[All]" dimensionUniqueName="[Table3]" displayFolder="" count="0" memberValueDatatype="20" unbalanced="0"/>
    <cacheHierarchy uniqueName="[Table3].[first_name]" caption="first_name" attribute="1" defaultMemberUniqueName="[Table3].[first_name].[All]" allUniqueName="[Table3].[first_name].[All]" dimensionUniqueName="[Table3]" displayFolder="" count="0" memberValueDatatype="130" unbalanced="0"/>
    <cacheHierarchy uniqueName="[Table3].[last_name]" caption="last_name" attribute="1" defaultMemberUniqueName="[Table3].[last_name].[All]" allUniqueName="[Table3].[last_name].[All]" dimensionUniqueName="[Table3]" displayFolder="" count="0" memberValueDatatype="130" unbalanced="0"/>
    <cacheHierarchy uniqueName="[Table3].[email]" caption="email" attribute="1" defaultMemberUniqueName="[Table3].[email].[All]" allUniqueName="[Table3].[email].[All]" dimensionUniqueName="[Table3]" displayFolder="" count="0" memberValueDatatype="130" unbalanced="0"/>
    <cacheHierarchy uniqueName="[Table3].[phone_number]" caption="phone_number" attribute="1" defaultMemberUniqueName="[Table3].[phone_number].[All]" allUniqueName="[Table3].[phone_number].[All]" dimensionUniqueName="[Table3]" displayFolder="" count="0" memberValueDatatype="130" unbalanced="0"/>
    <cacheHierarchy uniqueName="[Table3].[hire_date]" caption="hire_date" attribute="1" time="1" defaultMemberUniqueName="[Table3].[hire_date].[All]" allUniqueName="[Table3].[hire_date].[All]" dimensionUniqueName="[Table3]" displayFolder="" count="0" memberValueDatatype="7" unbalanced="0"/>
    <cacheHierarchy uniqueName="[Table3].[job_id]" caption="job_id" attribute="1" defaultMemberUniqueName="[Table3].[job_id].[All]" allUniqueName="[Table3].[job_id].[All]" dimensionUniqueName="[Table3]" displayFolder="" count="0" memberValueDatatype="20" unbalanced="0"/>
    <cacheHierarchy uniqueName="[Table3].[salary]" caption="salary" attribute="1" defaultMemberUniqueName="[Table3].[salary].[All]" allUniqueName="[Table3].[salary].[All]" dimensionUniqueName="[Table3]" displayFolder="" count="0" memberValueDatatype="20" unbalanced="0"/>
    <cacheHierarchy uniqueName="[Table3].[manager_id]" caption="manager_id" attribute="1" defaultMemberUniqueName="[Table3].[manager_id].[All]" allUniqueName="[Table3].[manager_id].[All]" dimensionUniqueName="[Table3]" displayFolder="" count="0" memberValueDatatype="20" unbalanced="0"/>
    <cacheHierarchy uniqueName="[Table3].[department_id]" caption="department_id" attribute="1" defaultMemberUniqueName="[Table3].[department_id].[All]" allUniqueName="[Table3].[department_id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XL_Count departments]" caption="__XL_Count departments" measure="1" displayFolder="" measureGroup="departments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Table3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name="departments" uniqueName="[departments]" caption="departments"/>
    <dimension measure="1" name="Measures" uniqueName="[Measures]" caption="Measures"/>
    <dimension name="Table3" uniqueName="[Table3]" caption="Table3"/>
  </dimensions>
  <measureGroups count="2">
    <measureGroup name="departments" caption="departments"/>
    <measureGroup name="Table3" caption="Table3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ran chaudhary" refreshedDate="45755.859063773147" createdVersion="5" refreshedVersion="8" minRefreshableVersion="3" recordCount="0" supportSubquery="1" supportAdvancedDrill="1" xr:uid="{DF546554-B0E3-46E5-86B7-DF8722DEFAFE}">
  <cacheSource type="external" connectionId="3"/>
  <cacheFields count="3">
    <cacheField name="[departments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Sum of salary]" caption="Sum of salary" numFmtId="0" hierarchy="16" level="32767"/>
    <cacheField name="[Measures].[Average of salary]" caption="Average of salary" numFmtId="0" hierarchy="17" level="32767"/>
  </cacheFields>
  <cacheHierarchies count="18">
    <cacheHierarchy uniqueName="[departments].[department_id]" caption="department_id" attribute="1" defaultMemberUniqueName="[departments].[department_id].[All]" allUniqueName="[departments].[department_id].[All]" dimensionUniqueName="[departments]" displayFolder="" count="0" memberValueDatatype="5" unbalanced="0"/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2" memberValueDatatype="130" unbalanced="0">
      <fieldsUsage count="2">
        <fieldUsage x="-1"/>
        <fieldUsage x="0"/>
      </fieldsUsage>
    </cacheHierarchy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5" unbalanced="0"/>
    <cacheHierarchy uniqueName="[Table3].[employee_id]" caption="employee_id" attribute="1" defaultMemberUniqueName="[Table3].[employee_id].[All]" allUniqueName="[Table3].[employee_id].[All]" dimensionUniqueName="[Table3]" displayFolder="" count="0" memberValueDatatype="20" unbalanced="0"/>
    <cacheHierarchy uniqueName="[Table3].[first_name]" caption="first_name" attribute="1" defaultMemberUniqueName="[Table3].[first_name].[All]" allUniqueName="[Table3].[first_name].[All]" dimensionUniqueName="[Table3]" displayFolder="" count="0" memberValueDatatype="130" unbalanced="0"/>
    <cacheHierarchy uniqueName="[Table3].[last_name]" caption="last_name" attribute="1" defaultMemberUniqueName="[Table3].[last_name].[All]" allUniqueName="[Table3].[last_name].[All]" dimensionUniqueName="[Table3]" displayFolder="" count="0" memberValueDatatype="130" unbalanced="0"/>
    <cacheHierarchy uniqueName="[Table3].[email]" caption="email" attribute="1" defaultMemberUniqueName="[Table3].[email].[All]" allUniqueName="[Table3].[email].[All]" dimensionUniqueName="[Table3]" displayFolder="" count="0" memberValueDatatype="130" unbalanced="0"/>
    <cacheHierarchy uniqueName="[Table3].[phone_number]" caption="phone_number" attribute="1" defaultMemberUniqueName="[Table3].[phone_number].[All]" allUniqueName="[Table3].[phone_number].[All]" dimensionUniqueName="[Table3]" displayFolder="" count="0" memberValueDatatype="130" unbalanced="0"/>
    <cacheHierarchy uniqueName="[Table3].[hire_date]" caption="hire_date" attribute="1" time="1" defaultMemberUniqueName="[Table3].[hire_date].[All]" allUniqueName="[Table3].[hire_date].[All]" dimensionUniqueName="[Table3]" displayFolder="" count="0" memberValueDatatype="7" unbalanced="0"/>
    <cacheHierarchy uniqueName="[Table3].[job_id]" caption="job_id" attribute="1" defaultMemberUniqueName="[Table3].[job_id].[All]" allUniqueName="[Table3].[job_id].[All]" dimensionUniqueName="[Table3]" displayFolder="" count="0" memberValueDatatype="20" unbalanced="0"/>
    <cacheHierarchy uniqueName="[Table3].[salary]" caption="salary" attribute="1" defaultMemberUniqueName="[Table3].[salary].[All]" allUniqueName="[Table3].[salary].[All]" dimensionUniqueName="[Table3]" displayFolder="" count="0" memberValueDatatype="20" unbalanced="0"/>
    <cacheHierarchy uniqueName="[Table3].[manager_id]" caption="manager_id" attribute="1" defaultMemberUniqueName="[Table3].[manager_id].[All]" allUniqueName="[Table3].[manager_id].[All]" dimensionUniqueName="[Table3]" displayFolder="" count="0" memberValueDatatype="20" unbalanced="0"/>
    <cacheHierarchy uniqueName="[Table3].[department_id]" caption="department_id" attribute="1" defaultMemberUniqueName="[Table3].[department_id].[All]" allUniqueName="[Table3].[department_id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XL_Count departments]" caption="__XL_Count departments" measure="1" displayFolder="" measureGroup="departments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name="departments" uniqueName="[departments]" caption="departments"/>
    <dimension measure="1" name="Measures" uniqueName="[Measures]" caption="Measures"/>
    <dimension name="Table3" uniqueName="[Table3]" caption="Table3"/>
  </dimensions>
  <measureGroups count="2">
    <measureGroup name="departments" caption="departments"/>
    <measureGroup name="Table3" caption="Table3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D7842F-838A-4275-B80B-AAECEA878AEA}" name="PivotTable2" cacheId="0" applyNumberFormats="0" applyBorderFormats="0" applyFontFormats="0" applyPatternFormats="0" applyAlignmentFormats="0" applyWidthHeightFormats="1" dataCaption="Values" tag="e5d4c1f9-aa84-4cd7-8c51-e473fb66a60c" updatedVersion="8" minRefreshableVersion="3" useAutoFormatting="1" itemPrintTitles="1" createdVersion="8" indent="0" multipleFieldFilters="0">
  <location ref="L4:M16" firstHeaderRow="1" firstDataRow="1" firstDataCol="1"/>
  <pivotFields count="2">
    <pivotField axis="axisRow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salary" fld="1" baseField="0" baseItem="0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partments]"/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1212CC-AE3C-4F87-9BDE-E93FC0956351}" name="PivotTable4" cacheId="1" applyNumberFormats="0" applyBorderFormats="0" applyFontFormats="0" applyPatternFormats="0" applyAlignmentFormats="0" applyWidthHeightFormats="1" dataCaption="Values" tag="53a4d244-5bc4-439d-80b2-dec5c9f38d3a" updatedVersion="8" minRefreshableVersion="3" useAutoFormatting="1" itemPrintTitles="1" createdVersion="5" indent="0" multipleFieldFilters="0" chartFormat="1">
  <location ref="B3:D15" firstHeaderRow="0" firstDataRow="1" firstDataCol="1"/>
  <pivotFields count="3">
    <pivotField axis="axisRow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ary" fld="1" baseField="0" baseItem="0" numFmtId="164"/>
    <dataField name="Average of salary" fld="2" subtotal="average" baseField="0" baseItem="0" numFmtId="164"/>
  </dataFields>
  <formats count="4">
    <format dxfId="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erage of salary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partments]"/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8CBF3D-921F-414A-A13D-A6D85A454225}" name="Table3" displayName="Table3" ref="A1:J41" totalsRowShown="0" headerRowDxfId="30" dataDxfId="29">
  <autoFilter ref="A1:J41" xr:uid="{538CBF3D-921F-414A-A13D-A6D85A454225}"/>
  <tableColumns count="10">
    <tableColumn id="1" xr3:uid="{38A646E5-68D9-4A74-AD47-B5D49B3902F6}" name="employee_id" dataDxfId="28"/>
    <tableColumn id="2" xr3:uid="{24CF1B66-F3A1-4DAB-92CF-0DFCBB77E043}" name="first_name" dataDxfId="27"/>
    <tableColumn id="3" xr3:uid="{FC0015D2-82B4-49B5-8D14-D37C0B0BA703}" name="last_name" dataDxfId="26"/>
    <tableColumn id="4" xr3:uid="{FC0B8D1C-5A0A-4A26-ABC7-DEDC9BF9C97D}" name="email" dataDxfId="25"/>
    <tableColumn id="5" xr3:uid="{D2531319-AE0D-461C-BB0C-4DE9E57D153B}" name="phone_number" dataDxfId="24"/>
    <tableColumn id="6" xr3:uid="{182470D1-1D7C-4CE4-8E56-6F77B6D59894}" name="hire_date" dataDxfId="23"/>
    <tableColumn id="7" xr3:uid="{10DD132F-9122-4243-ACFC-C80AE07DFCF4}" name="job_id" dataDxfId="22"/>
    <tableColumn id="8" xr3:uid="{82B1D9AD-EA29-4346-B425-D959DD0C3F42}" name="salary" dataDxfId="21"/>
    <tableColumn id="9" xr3:uid="{C5140ACD-5CB6-4375-A1B2-FC300300C492}" name="manager_id" dataDxfId="20"/>
    <tableColumn id="10" xr3:uid="{08251147-3F19-4F75-ABFE-22C42FDD4E06}" name="department_id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E0FDA7-6499-420B-80D4-AA22A148CEA0}" name="Table4" displayName="Table4" ref="A1:J41" totalsRowShown="0" headerRowDxfId="14" dataDxfId="13">
  <autoFilter ref="A1:J41" xr:uid="{BDE0FDA7-6499-420B-80D4-AA22A148CEA0}"/>
  <tableColumns count="10">
    <tableColumn id="1" xr3:uid="{1575C70E-4F6B-4CEE-AF2F-989A4CDE9822}" name="employee_id" dataDxfId="12"/>
    <tableColumn id="2" xr3:uid="{9D22E375-97A2-49FE-A1A0-49E070253D31}" name="first_name" dataDxfId="11"/>
    <tableColumn id="3" xr3:uid="{FC134428-952E-46CC-8D34-ED5C9296E9BE}" name="last_name" dataDxfId="10"/>
    <tableColumn id="4" xr3:uid="{E7928E98-C1C3-4734-A935-E8F6B1AB71BD}" name="email" dataDxfId="9"/>
    <tableColumn id="5" xr3:uid="{50EB64C1-3E3D-4AC9-B657-B1E2FDE7DC40}" name="phone_number" dataDxfId="8"/>
    <tableColumn id="6" xr3:uid="{D1995128-416F-436D-A1BE-0C7105040940}" name="hire_date" dataDxfId="7"/>
    <tableColumn id="7" xr3:uid="{CF1C8BFC-B734-41FC-947A-A40AA7BF5604}" name="job_id" dataDxfId="6"/>
    <tableColumn id="8" xr3:uid="{AD524F69-9A8A-45D8-8681-CC028F5144B6}" name="salary" dataDxfId="5"/>
    <tableColumn id="9" xr3:uid="{98AD8B93-6354-4691-BBFA-3B22E00F3AFD}" name="manager_id" dataDxfId="4"/>
    <tableColumn id="10" xr3:uid="{7B749EF3-E2A7-490B-B628-481ED65E02F2}" name="department_id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william.gietz@sqltutorial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L27" sqref="L27"/>
    </sheetView>
  </sheetViews>
  <sheetFormatPr defaultColWidth="12.6640625" defaultRowHeight="15" customHeight="1" x14ac:dyDescent="0.3"/>
  <cols>
    <col min="1" max="1" width="11.6640625" bestFit="1" customWidth="1"/>
    <col min="2" max="3" width="10.77734375" bestFit="1" customWidth="1"/>
    <col min="4" max="4" width="29.77734375" bestFit="1" customWidth="1"/>
    <col min="5" max="5" width="13.44140625" bestFit="1" customWidth="1"/>
    <col min="6" max="6" width="10.33203125" bestFit="1" customWidth="1"/>
    <col min="7" max="7" width="6.109375" bestFit="1" customWidth="1"/>
    <col min="8" max="8" width="6" bestFit="1" customWidth="1"/>
    <col min="9" max="9" width="10.6640625" bestFit="1" customWidth="1"/>
    <col min="10" max="10" width="13.44140625" bestFit="1" customWidth="1"/>
    <col min="11" max="26" width="8.6640625" customWidth="1"/>
  </cols>
  <sheetData>
    <row r="1" spans="1:26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conditionalFormatting sqref="A2:J41">
    <cfRule type="expression" dxfId="2" priority="1">
      <formula>AND(YEAR($F2)&gt;1996, YEAR($F2)&lt;=1999)</formula>
    </cfRule>
    <cfRule type="expression" dxfId="1" priority="2">
      <formula>$H2&gt;15000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196DD-E4F4-4FF5-853D-0C152DEBB815}">
  <sheetPr codeName="Sheet2"/>
  <dimension ref="A1:P41"/>
  <sheetViews>
    <sheetView workbookViewId="0">
      <selection activeCell="D28" sqref="D28"/>
    </sheetView>
  </sheetViews>
  <sheetFormatPr defaultRowHeight="14.4" x14ac:dyDescent="0.3"/>
  <cols>
    <col min="1" max="1" width="11.6640625" bestFit="1" customWidth="1"/>
    <col min="2" max="3" width="10.77734375" bestFit="1" customWidth="1"/>
    <col min="4" max="4" width="29.77734375" bestFit="1" customWidth="1"/>
    <col min="5" max="5" width="13.44140625" bestFit="1" customWidth="1"/>
    <col min="6" max="6" width="10.33203125" bestFit="1" customWidth="1"/>
    <col min="7" max="7" width="6.109375" bestFit="1" customWidth="1"/>
    <col min="8" max="8" width="6" bestFit="1" customWidth="1"/>
    <col min="9" max="9" width="10.6640625" bestFit="1" customWidth="1"/>
    <col min="10" max="10" width="13.44140625" bestFit="1" customWidth="1"/>
    <col min="14" max="14" width="12.5546875" bestFit="1" customWidth="1"/>
    <col min="15" max="15" width="15.88671875" bestFit="1" customWidth="1"/>
    <col min="16" max="16" width="9.6640625" bestFit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6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16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  <c r="N3" t="s">
        <v>9</v>
      </c>
      <c r="O3" t="s">
        <v>161</v>
      </c>
      <c r="P3" t="s">
        <v>162</v>
      </c>
    </row>
    <row r="4" spans="1:16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  <c r="N4">
        <v>1</v>
      </c>
      <c r="O4" t="s">
        <v>163</v>
      </c>
      <c r="P4">
        <v>1700</v>
      </c>
    </row>
    <row r="5" spans="1:16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  <c r="N5">
        <v>2</v>
      </c>
      <c r="O5" t="s">
        <v>164</v>
      </c>
      <c r="P5">
        <v>1800</v>
      </c>
    </row>
    <row r="6" spans="1:16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  <c r="N6">
        <v>3</v>
      </c>
      <c r="O6" t="s">
        <v>165</v>
      </c>
      <c r="P6">
        <v>1700</v>
      </c>
    </row>
    <row r="7" spans="1:16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  <c r="N7">
        <v>4</v>
      </c>
      <c r="O7" t="s">
        <v>166</v>
      </c>
      <c r="P7">
        <v>2400</v>
      </c>
    </row>
    <row r="8" spans="1:16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  <c r="N8">
        <v>5</v>
      </c>
      <c r="O8" t="s">
        <v>167</v>
      </c>
      <c r="P8">
        <v>1500</v>
      </c>
    </row>
    <row r="9" spans="1:16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  <c r="N9">
        <v>6</v>
      </c>
      <c r="O9" t="s">
        <v>168</v>
      </c>
      <c r="P9">
        <v>1400</v>
      </c>
    </row>
    <row r="10" spans="1:16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  <c r="N10">
        <v>7</v>
      </c>
      <c r="O10" t="s">
        <v>169</v>
      </c>
      <c r="P10">
        <v>2700</v>
      </c>
    </row>
    <row r="11" spans="1:16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  <c r="N11">
        <v>8</v>
      </c>
      <c r="O11" t="s">
        <v>170</v>
      </c>
      <c r="P11">
        <v>2500</v>
      </c>
    </row>
    <row r="12" spans="1:16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  <c r="N12">
        <v>9</v>
      </c>
      <c r="O12" t="s">
        <v>171</v>
      </c>
      <c r="P12">
        <v>1700</v>
      </c>
    </row>
    <row r="13" spans="1:16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  <c r="N13">
        <v>10</v>
      </c>
      <c r="O13" t="s">
        <v>172</v>
      </c>
      <c r="P13">
        <v>1700</v>
      </c>
    </row>
    <row r="14" spans="1:16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  <c r="N14">
        <v>11</v>
      </c>
      <c r="O14" t="s">
        <v>173</v>
      </c>
      <c r="P14">
        <v>1700</v>
      </c>
    </row>
    <row r="15" spans="1:16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6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dataValidations count="2">
    <dataValidation type="list" allowBlank="1" showInputMessage="1" showErrorMessage="1" sqref="J1 J42:J1048576" xr:uid="{BBBB635B-679B-49C3-B97A-62968C7F20F4}">
      <formula1>INDIRECT("departments(1)!A2:A12")</formula1>
    </dataValidation>
    <dataValidation type="list" allowBlank="1" showInputMessage="1" showErrorMessage="1" sqref="J2:J41" xr:uid="{8D4FE7ED-8493-43DD-8D16-DA63F21E13C6}">
      <formula1>$N$4:$N$14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1D6B-CA46-4FDE-BBF7-4813FC6785F9}">
  <sheetPr codeName="Sheet3"/>
  <dimension ref="A1:J41"/>
  <sheetViews>
    <sheetView workbookViewId="0">
      <selection activeCell="N10" sqref="N10"/>
    </sheetView>
  </sheetViews>
  <sheetFormatPr defaultRowHeight="14.4" x14ac:dyDescent="0.3"/>
  <cols>
    <col min="1" max="1" width="13.88671875" bestFit="1" customWidth="1"/>
    <col min="2" max="2" width="16.6640625" bestFit="1" customWidth="1"/>
    <col min="3" max="3" width="29.77734375" bestFit="1" customWidth="1"/>
    <col min="4" max="4" width="17.33203125" bestFit="1" customWidth="1"/>
    <col min="5" max="5" width="15.6640625" bestFit="1" customWidth="1"/>
    <col min="6" max="6" width="15.33203125" bestFit="1" customWidth="1"/>
    <col min="7" max="7" width="8.33203125" bestFit="1" customWidth="1"/>
    <col min="8" max="8" width="8.21875" bestFit="1" customWidth="1"/>
    <col min="9" max="9" width="12.88671875" bestFit="1" customWidth="1"/>
    <col min="10" max="10" width="15.6640625" bestFit="1" customWidth="1"/>
  </cols>
  <sheetData>
    <row r="1" spans="1:10" x14ac:dyDescent="0.3">
      <c r="A1" s="5" t="s">
        <v>0</v>
      </c>
      <c r="B1" s="5" t="s">
        <v>174</v>
      </c>
      <c r="C1" s="5" t="s">
        <v>3</v>
      </c>
      <c r="D1" s="5" t="s">
        <v>175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</row>
    <row r="2" spans="1:10" x14ac:dyDescent="0.3">
      <c r="A2">
        <v>100</v>
      </c>
      <c r="B2" t="s">
        <v>176</v>
      </c>
      <c r="C2" t="s">
        <v>12</v>
      </c>
      <c r="D2" t="s">
        <v>177</v>
      </c>
      <c r="E2" t="s">
        <v>13</v>
      </c>
      <c r="F2" s="4">
        <v>31945</v>
      </c>
      <c r="G2">
        <v>4</v>
      </c>
      <c r="H2">
        <v>24000</v>
      </c>
      <c r="J2">
        <v>9</v>
      </c>
    </row>
    <row r="3" spans="1:10" x14ac:dyDescent="0.3">
      <c r="A3">
        <v>101</v>
      </c>
      <c r="B3" t="s">
        <v>178</v>
      </c>
      <c r="C3" t="s">
        <v>16</v>
      </c>
      <c r="D3" t="s">
        <v>179</v>
      </c>
      <c r="E3" t="s">
        <v>17</v>
      </c>
      <c r="F3" s="4">
        <v>32772</v>
      </c>
      <c r="G3">
        <v>5</v>
      </c>
      <c r="H3">
        <v>17000</v>
      </c>
      <c r="I3">
        <v>100</v>
      </c>
      <c r="J3">
        <v>9</v>
      </c>
    </row>
    <row r="4" spans="1:10" x14ac:dyDescent="0.3">
      <c r="A4">
        <v>102</v>
      </c>
      <c r="B4" t="s">
        <v>180</v>
      </c>
      <c r="C4" t="s">
        <v>20</v>
      </c>
      <c r="D4" t="s">
        <v>181</v>
      </c>
      <c r="E4" t="s">
        <v>21</v>
      </c>
      <c r="F4" s="4">
        <v>33982</v>
      </c>
      <c r="G4">
        <v>5</v>
      </c>
      <c r="H4">
        <v>17000</v>
      </c>
      <c r="I4">
        <v>100</v>
      </c>
      <c r="J4">
        <v>9</v>
      </c>
    </row>
    <row r="5" spans="1:10" x14ac:dyDescent="0.3">
      <c r="A5">
        <v>103</v>
      </c>
      <c r="B5" t="s">
        <v>182</v>
      </c>
      <c r="C5" t="s">
        <v>24</v>
      </c>
      <c r="D5" t="s">
        <v>183</v>
      </c>
      <c r="E5" t="s">
        <v>25</v>
      </c>
      <c r="F5" s="4">
        <v>32876</v>
      </c>
      <c r="G5">
        <v>9</v>
      </c>
      <c r="H5">
        <v>9000</v>
      </c>
      <c r="I5">
        <v>102</v>
      </c>
      <c r="J5">
        <v>6</v>
      </c>
    </row>
    <row r="6" spans="1:10" x14ac:dyDescent="0.3">
      <c r="A6">
        <v>104</v>
      </c>
      <c r="B6" t="s">
        <v>184</v>
      </c>
      <c r="C6" t="s">
        <v>28</v>
      </c>
      <c r="D6" t="s">
        <v>185</v>
      </c>
      <c r="E6" t="s">
        <v>29</v>
      </c>
      <c r="F6" s="4">
        <v>33379</v>
      </c>
      <c r="G6">
        <v>9</v>
      </c>
      <c r="H6">
        <v>6000</v>
      </c>
      <c r="I6">
        <v>103</v>
      </c>
      <c r="J6">
        <v>6</v>
      </c>
    </row>
    <row r="7" spans="1:10" x14ac:dyDescent="0.3">
      <c r="A7">
        <v>105</v>
      </c>
      <c r="B7" t="s">
        <v>186</v>
      </c>
      <c r="C7" t="s">
        <v>32</v>
      </c>
      <c r="D7" t="s">
        <v>187</v>
      </c>
      <c r="E7" t="s">
        <v>33</v>
      </c>
      <c r="F7" s="4">
        <v>35606</v>
      </c>
      <c r="G7">
        <v>9</v>
      </c>
      <c r="H7">
        <v>4800</v>
      </c>
      <c r="I7">
        <v>103</v>
      </c>
      <c r="J7">
        <v>6</v>
      </c>
    </row>
    <row r="8" spans="1:10" x14ac:dyDescent="0.3">
      <c r="A8">
        <v>106</v>
      </c>
      <c r="B8" t="s">
        <v>188</v>
      </c>
      <c r="C8" t="s">
        <v>36</v>
      </c>
      <c r="D8" t="s">
        <v>189</v>
      </c>
      <c r="E8" t="s">
        <v>37</v>
      </c>
      <c r="F8" s="4">
        <v>35831</v>
      </c>
      <c r="G8">
        <v>9</v>
      </c>
      <c r="H8">
        <v>4800</v>
      </c>
      <c r="I8">
        <v>103</v>
      </c>
      <c r="J8">
        <v>6</v>
      </c>
    </row>
    <row r="9" spans="1:10" x14ac:dyDescent="0.3">
      <c r="A9">
        <v>107</v>
      </c>
      <c r="B9" t="s">
        <v>190</v>
      </c>
      <c r="C9" t="s">
        <v>40</v>
      </c>
      <c r="D9" t="s">
        <v>191</v>
      </c>
      <c r="E9" t="s">
        <v>41</v>
      </c>
      <c r="F9" s="4">
        <v>36198</v>
      </c>
      <c r="G9">
        <v>9</v>
      </c>
      <c r="H9">
        <v>4200</v>
      </c>
      <c r="I9">
        <v>103</v>
      </c>
      <c r="J9">
        <v>6</v>
      </c>
    </row>
    <row r="10" spans="1:10" x14ac:dyDescent="0.3">
      <c r="A10">
        <v>108</v>
      </c>
      <c r="B10" t="s">
        <v>192</v>
      </c>
      <c r="C10" t="s">
        <v>44</v>
      </c>
      <c r="D10" t="s">
        <v>193</v>
      </c>
      <c r="E10" t="s">
        <v>45</v>
      </c>
      <c r="F10" s="4">
        <v>34563</v>
      </c>
      <c r="G10">
        <v>7</v>
      </c>
      <c r="H10">
        <v>12000</v>
      </c>
      <c r="I10">
        <v>101</v>
      </c>
      <c r="J10">
        <v>10</v>
      </c>
    </row>
    <row r="11" spans="1:10" x14ac:dyDescent="0.3">
      <c r="A11">
        <v>109</v>
      </c>
      <c r="B11" t="s">
        <v>194</v>
      </c>
      <c r="C11" t="s">
        <v>48</v>
      </c>
      <c r="D11" t="s">
        <v>195</v>
      </c>
      <c r="E11" t="s">
        <v>49</v>
      </c>
      <c r="F11" s="4">
        <v>34562</v>
      </c>
      <c r="G11">
        <v>6</v>
      </c>
      <c r="H11">
        <v>9000</v>
      </c>
      <c r="I11">
        <v>108</v>
      </c>
      <c r="J11">
        <v>10</v>
      </c>
    </row>
    <row r="12" spans="1:10" x14ac:dyDescent="0.3">
      <c r="A12">
        <v>110</v>
      </c>
      <c r="B12" t="s">
        <v>196</v>
      </c>
      <c r="C12" t="s">
        <v>52</v>
      </c>
      <c r="D12" t="s">
        <v>197</v>
      </c>
      <c r="E12" t="s">
        <v>53</v>
      </c>
      <c r="F12" s="4">
        <v>35701</v>
      </c>
      <c r="G12">
        <v>6</v>
      </c>
      <c r="H12">
        <v>8200</v>
      </c>
      <c r="I12">
        <v>108</v>
      </c>
      <c r="J12">
        <v>10</v>
      </c>
    </row>
    <row r="13" spans="1:10" x14ac:dyDescent="0.3">
      <c r="A13">
        <v>111</v>
      </c>
      <c r="B13" t="s">
        <v>198</v>
      </c>
      <c r="C13" t="s">
        <v>56</v>
      </c>
      <c r="D13" t="s">
        <v>199</v>
      </c>
      <c r="E13" t="s">
        <v>57</v>
      </c>
      <c r="F13" s="4">
        <v>35703</v>
      </c>
      <c r="G13">
        <v>6</v>
      </c>
      <c r="H13">
        <v>7700</v>
      </c>
      <c r="I13">
        <v>108</v>
      </c>
      <c r="J13">
        <v>10</v>
      </c>
    </row>
    <row r="14" spans="1:10" x14ac:dyDescent="0.3">
      <c r="A14">
        <v>112</v>
      </c>
      <c r="B14" t="s">
        <v>200</v>
      </c>
      <c r="C14" t="s">
        <v>60</v>
      </c>
      <c r="D14" t="s">
        <v>201</v>
      </c>
      <c r="E14" t="s">
        <v>61</v>
      </c>
      <c r="F14" s="4">
        <v>35861</v>
      </c>
      <c r="G14">
        <v>6</v>
      </c>
      <c r="H14">
        <v>7800</v>
      </c>
      <c r="I14">
        <v>108</v>
      </c>
      <c r="J14">
        <v>10</v>
      </c>
    </row>
    <row r="15" spans="1:10" x14ac:dyDescent="0.3">
      <c r="A15">
        <v>113</v>
      </c>
      <c r="B15" t="s">
        <v>202</v>
      </c>
      <c r="C15" t="s">
        <v>64</v>
      </c>
      <c r="D15" t="s">
        <v>203</v>
      </c>
      <c r="E15" t="s">
        <v>65</v>
      </c>
      <c r="F15" s="4">
        <v>36501</v>
      </c>
      <c r="G15">
        <v>6</v>
      </c>
      <c r="H15">
        <v>6900</v>
      </c>
      <c r="I15">
        <v>108</v>
      </c>
      <c r="J15">
        <v>10</v>
      </c>
    </row>
    <row r="16" spans="1:10" x14ac:dyDescent="0.3">
      <c r="A16">
        <v>114</v>
      </c>
      <c r="B16" t="s">
        <v>204</v>
      </c>
      <c r="C16" t="s">
        <v>68</v>
      </c>
      <c r="D16" t="s">
        <v>205</v>
      </c>
      <c r="E16" t="s">
        <v>69</v>
      </c>
      <c r="F16" s="4">
        <v>34675</v>
      </c>
      <c r="G16">
        <v>14</v>
      </c>
      <c r="H16">
        <v>11000</v>
      </c>
      <c r="I16">
        <v>100</v>
      </c>
      <c r="J16">
        <v>3</v>
      </c>
    </row>
    <row r="17" spans="1:10" x14ac:dyDescent="0.3">
      <c r="A17">
        <v>115</v>
      </c>
      <c r="B17" t="s">
        <v>206</v>
      </c>
      <c r="C17" t="s">
        <v>71</v>
      </c>
      <c r="D17" t="s">
        <v>207</v>
      </c>
      <c r="E17" t="s">
        <v>72</v>
      </c>
      <c r="F17" s="4">
        <v>34837</v>
      </c>
      <c r="G17">
        <v>13</v>
      </c>
      <c r="H17">
        <v>3100</v>
      </c>
      <c r="I17">
        <v>114</v>
      </c>
      <c r="J17">
        <v>3</v>
      </c>
    </row>
    <row r="18" spans="1:10" x14ac:dyDescent="0.3">
      <c r="A18">
        <v>116</v>
      </c>
      <c r="B18" t="s">
        <v>208</v>
      </c>
      <c r="C18" t="s">
        <v>75</v>
      </c>
      <c r="D18" t="s">
        <v>209</v>
      </c>
      <c r="E18" t="s">
        <v>76</v>
      </c>
      <c r="F18" s="4">
        <v>35788</v>
      </c>
      <c r="G18">
        <v>13</v>
      </c>
      <c r="H18">
        <v>2900</v>
      </c>
      <c r="I18">
        <v>114</v>
      </c>
      <c r="J18">
        <v>3</v>
      </c>
    </row>
    <row r="19" spans="1:10" x14ac:dyDescent="0.3">
      <c r="A19">
        <v>117</v>
      </c>
      <c r="B19" t="s">
        <v>210</v>
      </c>
      <c r="C19" t="s">
        <v>79</v>
      </c>
      <c r="D19" t="s">
        <v>211</v>
      </c>
      <c r="E19" t="s">
        <v>80</v>
      </c>
      <c r="F19" s="4">
        <v>35635</v>
      </c>
      <c r="G19">
        <v>13</v>
      </c>
      <c r="H19">
        <v>2800</v>
      </c>
      <c r="I19">
        <v>114</v>
      </c>
      <c r="J19">
        <v>3</v>
      </c>
    </row>
    <row r="20" spans="1:10" x14ac:dyDescent="0.3">
      <c r="A20">
        <v>118</v>
      </c>
      <c r="B20" t="s">
        <v>212</v>
      </c>
      <c r="C20" t="s">
        <v>83</v>
      </c>
      <c r="D20" t="s">
        <v>213</v>
      </c>
      <c r="E20" t="s">
        <v>84</v>
      </c>
      <c r="F20" s="4">
        <v>36114</v>
      </c>
      <c r="G20">
        <v>13</v>
      </c>
      <c r="H20">
        <v>2600</v>
      </c>
      <c r="I20">
        <v>114</v>
      </c>
      <c r="J20">
        <v>3</v>
      </c>
    </row>
    <row r="21" spans="1:10" x14ac:dyDescent="0.3">
      <c r="A21">
        <v>119</v>
      </c>
      <c r="B21" t="s">
        <v>214</v>
      </c>
      <c r="C21" t="s">
        <v>87</v>
      </c>
      <c r="D21" t="s">
        <v>215</v>
      </c>
      <c r="E21" t="s">
        <v>88</v>
      </c>
      <c r="F21" s="4">
        <v>36382</v>
      </c>
      <c r="G21">
        <v>13</v>
      </c>
      <c r="H21">
        <v>2500</v>
      </c>
      <c r="I21">
        <v>114</v>
      </c>
      <c r="J21">
        <v>3</v>
      </c>
    </row>
    <row r="22" spans="1:10" x14ac:dyDescent="0.3">
      <c r="A22">
        <v>120</v>
      </c>
      <c r="B22" t="s">
        <v>216</v>
      </c>
      <c r="C22" t="s">
        <v>91</v>
      </c>
      <c r="D22" t="s">
        <v>217</v>
      </c>
      <c r="E22" t="s">
        <v>92</v>
      </c>
      <c r="F22" s="4">
        <v>35264</v>
      </c>
      <c r="G22">
        <v>19</v>
      </c>
      <c r="H22">
        <v>8000</v>
      </c>
      <c r="I22">
        <v>100</v>
      </c>
      <c r="J22">
        <v>5</v>
      </c>
    </row>
    <row r="23" spans="1:10" x14ac:dyDescent="0.3">
      <c r="A23">
        <v>121</v>
      </c>
      <c r="B23" t="s">
        <v>218</v>
      </c>
      <c r="C23" t="s">
        <v>95</v>
      </c>
      <c r="D23" t="s">
        <v>219</v>
      </c>
      <c r="E23" t="s">
        <v>96</v>
      </c>
      <c r="F23" s="4">
        <v>35530</v>
      </c>
      <c r="G23">
        <v>19</v>
      </c>
      <c r="H23">
        <v>8200</v>
      </c>
      <c r="I23">
        <v>100</v>
      </c>
      <c r="J23">
        <v>5</v>
      </c>
    </row>
    <row r="24" spans="1:10" x14ac:dyDescent="0.3">
      <c r="A24">
        <v>122</v>
      </c>
      <c r="B24" t="s">
        <v>220</v>
      </c>
      <c r="C24" t="s">
        <v>99</v>
      </c>
      <c r="D24" t="s">
        <v>221</v>
      </c>
      <c r="E24" t="s">
        <v>100</v>
      </c>
      <c r="F24" s="4">
        <v>34820</v>
      </c>
      <c r="G24">
        <v>19</v>
      </c>
      <c r="H24">
        <v>7900</v>
      </c>
      <c r="I24">
        <v>100</v>
      </c>
      <c r="J24">
        <v>5</v>
      </c>
    </row>
    <row r="25" spans="1:10" x14ac:dyDescent="0.3">
      <c r="A25">
        <v>123</v>
      </c>
      <c r="B25" t="s">
        <v>222</v>
      </c>
      <c r="C25" t="s">
        <v>103</v>
      </c>
      <c r="D25" t="s">
        <v>223</v>
      </c>
      <c r="E25" t="s">
        <v>104</v>
      </c>
      <c r="F25" s="4">
        <v>35713</v>
      </c>
      <c r="G25">
        <v>19</v>
      </c>
      <c r="H25">
        <v>6500</v>
      </c>
      <c r="I25">
        <v>100</v>
      </c>
      <c r="J25">
        <v>5</v>
      </c>
    </row>
    <row r="26" spans="1:10" x14ac:dyDescent="0.3">
      <c r="A26">
        <v>126</v>
      </c>
      <c r="B26" t="s">
        <v>224</v>
      </c>
      <c r="C26" t="s">
        <v>107</v>
      </c>
      <c r="D26" t="s">
        <v>225</v>
      </c>
      <c r="E26" t="s">
        <v>108</v>
      </c>
      <c r="F26" s="4">
        <v>36066</v>
      </c>
      <c r="G26">
        <v>18</v>
      </c>
      <c r="H26">
        <v>2700</v>
      </c>
      <c r="I26">
        <v>120</v>
      </c>
      <c r="J26">
        <v>5</v>
      </c>
    </row>
    <row r="27" spans="1:10" x14ac:dyDescent="0.3">
      <c r="A27">
        <v>145</v>
      </c>
      <c r="B27" t="s">
        <v>226</v>
      </c>
      <c r="C27" t="s">
        <v>110</v>
      </c>
      <c r="D27" t="s">
        <v>227</v>
      </c>
      <c r="F27" s="4">
        <v>35339</v>
      </c>
      <c r="G27">
        <v>15</v>
      </c>
      <c r="H27">
        <v>14000</v>
      </c>
      <c r="I27">
        <v>100</v>
      </c>
      <c r="J27">
        <v>8</v>
      </c>
    </row>
    <row r="28" spans="1:10" x14ac:dyDescent="0.3">
      <c r="A28">
        <v>146</v>
      </c>
      <c r="B28" t="s">
        <v>228</v>
      </c>
      <c r="C28" t="s">
        <v>112</v>
      </c>
      <c r="D28" t="s">
        <v>229</v>
      </c>
      <c r="F28" s="4">
        <v>35435</v>
      </c>
      <c r="G28">
        <v>15</v>
      </c>
      <c r="H28">
        <v>13500</v>
      </c>
      <c r="I28">
        <v>100</v>
      </c>
      <c r="J28">
        <v>8</v>
      </c>
    </row>
    <row r="29" spans="1:10" x14ac:dyDescent="0.3">
      <c r="A29">
        <v>176</v>
      </c>
      <c r="B29" t="s">
        <v>230</v>
      </c>
      <c r="C29" t="s">
        <v>115</v>
      </c>
      <c r="D29" t="s">
        <v>231</v>
      </c>
      <c r="F29" s="4">
        <v>35878</v>
      </c>
      <c r="G29">
        <v>16</v>
      </c>
      <c r="H29">
        <v>8600</v>
      </c>
      <c r="I29">
        <v>100</v>
      </c>
      <c r="J29">
        <v>8</v>
      </c>
    </row>
    <row r="30" spans="1:10" x14ac:dyDescent="0.3">
      <c r="A30">
        <v>177</v>
      </c>
      <c r="B30" t="s">
        <v>232</v>
      </c>
      <c r="C30" t="s">
        <v>118</v>
      </c>
      <c r="D30" t="s">
        <v>233</v>
      </c>
      <c r="F30" s="4">
        <v>35908</v>
      </c>
      <c r="G30">
        <v>16</v>
      </c>
      <c r="H30">
        <v>8400</v>
      </c>
      <c r="I30">
        <v>100</v>
      </c>
      <c r="J30">
        <v>8</v>
      </c>
    </row>
    <row r="31" spans="1:10" x14ac:dyDescent="0.3">
      <c r="A31">
        <v>178</v>
      </c>
      <c r="B31" t="s">
        <v>234</v>
      </c>
      <c r="C31" t="s">
        <v>121</v>
      </c>
      <c r="D31" t="s">
        <v>235</v>
      </c>
      <c r="F31" s="4">
        <v>36304</v>
      </c>
      <c r="G31">
        <v>16</v>
      </c>
      <c r="H31">
        <v>7000</v>
      </c>
      <c r="I31">
        <v>100</v>
      </c>
      <c r="J31">
        <v>8</v>
      </c>
    </row>
    <row r="32" spans="1:10" x14ac:dyDescent="0.3">
      <c r="A32">
        <v>179</v>
      </c>
      <c r="B32" t="s">
        <v>236</v>
      </c>
      <c r="C32" t="s">
        <v>124</v>
      </c>
      <c r="D32" t="s">
        <v>237</v>
      </c>
      <c r="F32" s="4">
        <v>36529</v>
      </c>
      <c r="G32">
        <v>16</v>
      </c>
      <c r="H32">
        <v>6200</v>
      </c>
      <c r="I32">
        <v>100</v>
      </c>
      <c r="J32">
        <v>8</v>
      </c>
    </row>
    <row r="33" spans="1:10" x14ac:dyDescent="0.3">
      <c r="A33">
        <v>192</v>
      </c>
      <c r="B33" t="s">
        <v>238</v>
      </c>
      <c r="C33" t="s">
        <v>127</v>
      </c>
      <c r="D33" t="s">
        <v>239</v>
      </c>
      <c r="E33" t="s">
        <v>128</v>
      </c>
      <c r="F33" s="4">
        <v>35099</v>
      </c>
      <c r="G33">
        <v>17</v>
      </c>
      <c r="H33">
        <v>4000</v>
      </c>
      <c r="I33">
        <v>123</v>
      </c>
      <c r="J33">
        <v>5</v>
      </c>
    </row>
    <row r="34" spans="1:10" x14ac:dyDescent="0.3">
      <c r="A34">
        <v>193</v>
      </c>
      <c r="B34" t="s">
        <v>240</v>
      </c>
      <c r="C34" t="s">
        <v>131</v>
      </c>
      <c r="D34" t="s">
        <v>241</v>
      </c>
      <c r="E34" t="s">
        <v>132</v>
      </c>
      <c r="F34" s="4">
        <v>35492</v>
      </c>
      <c r="G34">
        <v>17</v>
      </c>
      <c r="H34">
        <v>3900</v>
      </c>
      <c r="I34">
        <v>123</v>
      </c>
      <c r="J34">
        <v>5</v>
      </c>
    </row>
    <row r="35" spans="1:10" x14ac:dyDescent="0.3">
      <c r="A35">
        <v>200</v>
      </c>
      <c r="B35" t="s">
        <v>242</v>
      </c>
      <c r="C35" t="s">
        <v>135</v>
      </c>
      <c r="D35" t="s">
        <v>243</v>
      </c>
      <c r="E35" t="s">
        <v>136</v>
      </c>
      <c r="F35" s="4">
        <v>32037</v>
      </c>
      <c r="G35">
        <v>3</v>
      </c>
      <c r="H35">
        <v>4400</v>
      </c>
      <c r="I35">
        <v>101</v>
      </c>
      <c r="J35">
        <v>1</v>
      </c>
    </row>
    <row r="36" spans="1:10" x14ac:dyDescent="0.3">
      <c r="A36">
        <v>201</v>
      </c>
      <c r="B36" t="s">
        <v>244</v>
      </c>
      <c r="C36" t="s">
        <v>139</v>
      </c>
      <c r="D36" t="s">
        <v>245</v>
      </c>
      <c r="E36" t="s">
        <v>140</v>
      </c>
      <c r="F36" s="4">
        <v>35112</v>
      </c>
      <c r="G36">
        <v>10</v>
      </c>
      <c r="H36">
        <v>13000</v>
      </c>
      <c r="I36">
        <v>100</v>
      </c>
      <c r="J36">
        <v>2</v>
      </c>
    </row>
    <row r="37" spans="1:10" x14ac:dyDescent="0.3">
      <c r="A37">
        <v>202</v>
      </c>
      <c r="B37" t="s">
        <v>246</v>
      </c>
      <c r="C37" t="s">
        <v>143</v>
      </c>
      <c r="D37" t="s">
        <v>247</v>
      </c>
      <c r="E37" t="s">
        <v>144</v>
      </c>
      <c r="F37" s="4">
        <v>35659</v>
      </c>
      <c r="G37">
        <v>11</v>
      </c>
      <c r="H37">
        <v>6000</v>
      </c>
      <c r="I37">
        <v>201</v>
      </c>
      <c r="J37">
        <v>2</v>
      </c>
    </row>
    <row r="38" spans="1:10" x14ac:dyDescent="0.3">
      <c r="A38">
        <v>203</v>
      </c>
      <c r="B38" t="s">
        <v>248</v>
      </c>
      <c r="C38" t="s">
        <v>147</v>
      </c>
      <c r="D38" t="s">
        <v>249</v>
      </c>
      <c r="E38" t="s">
        <v>148</v>
      </c>
      <c r="F38" s="4">
        <v>34492</v>
      </c>
      <c r="G38">
        <v>8</v>
      </c>
      <c r="H38">
        <v>6500</v>
      </c>
      <c r="I38">
        <v>101</v>
      </c>
      <c r="J38">
        <v>4</v>
      </c>
    </row>
    <row r="39" spans="1:10" x14ac:dyDescent="0.3">
      <c r="A39">
        <v>204</v>
      </c>
      <c r="B39" t="s">
        <v>250</v>
      </c>
      <c r="C39" t="s">
        <v>151</v>
      </c>
      <c r="D39" t="s">
        <v>251</v>
      </c>
      <c r="E39" t="s">
        <v>152</v>
      </c>
      <c r="F39" s="4">
        <v>34492</v>
      </c>
      <c r="G39">
        <v>12</v>
      </c>
      <c r="H39">
        <v>10000</v>
      </c>
      <c r="I39">
        <v>101</v>
      </c>
      <c r="J39">
        <v>7</v>
      </c>
    </row>
    <row r="40" spans="1:10" x14ac:dyDescent="0.3">
      <c r="A40">
        <v>205</v>
      </c>
      <c r="B40" t="s">
        <v>252</v>
      </c>
      <c r="C40" t="s">
        <v>155</v>
      </c>
      <c r="D40" t="s">
        <v>253</v>
      </c>
      <c r="E40" t="s">
        <v>156</v>
      </c>
      <c r="F40" s="4">
        <v>34492</v>
      </c>
      <c r="G40">
        <v>2</v>
      </c>
      <c r="H40">
        <v>12000</v>
      </c>
      <c r="I40">
        <v>101</v>
      </c>
      <c r="J40">
        <v>11</v>
      </c>
    </row>
    <row r="41" spans="1:10" x14ac:dyDescent="0.3">
      <c r="A41">
        <v>206</v>
      </c>
      <c r="B41" t="s">
        <v>254</v>
      </c>
      <c r="C41" t="s">
        <v>159</v>
      </c>
      <c r="D41" t="s">
        <v>255</v>
      </c>
      <c r="E41" t="s">
        <v>160</v>
      </c>
      <c r="F41" s="4">
        <v>34492</v>
      </c>
      <c r="G41">
        <v>1</v>
      </c>
      <c r="H41">
        <v>8300</v>
      </c>
      <c r="I41">
        <v>205</v>
      </c>
      <c r="J41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3206D-AFBB-4AA5-AE5E-458247BD1637}">
  <sheetPr codeName="Sheet4"/>
  <dimension ref="A1:M41"/>
  <sheetViews>
    <sheetView workbookViewId="0">
      <selection activeCell="O5" sqref="O5"/>
    </sheetView>
  </sheetViews>
  <sheetFormatPr defaultRowHeight="14.4" x14ac:dyDescent="0.3"/>
  <cols>
    <col min="1" max="1" width="13.5546875" customWidth="1"/>
    <col min="2" max="2" width="11.6640625" customWidth="1"/>
    <col min="3" max="3" width="11.44140625" customWidth="1"/>
    <col min="4" max="4" width="29.77734375" bestFit="1" customWidth="1"/>
    <col min="5" max="5" width="15.21875" customWidth="1"/>
    <col min="6" max="6" width="10.6640625" customWidth="1"/>
    <col min="7" max="7" width="8" customWidth="1"/>
    <col min="8" max="8" width="7.88671875" customWidth="1"/>
    <col min="9" max="9" width="12.5546875" customWidth="1"/>
    <col min="10" max="10" width="15.21875" customWidth="1"/>
    <col min="12" max="12" width="12.44140625" bestFit="1" customWidth="1"/>
    <col min="13" max="13" width="12" bestFit="1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3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13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3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  <c r="L4" s="6" t="s">
        <v>256</v>
      </c>
      <c r="M4" t="s">
        <v>258</v>
      </c>
    </row>
    <row r="5" spans="1:13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  <c r="L5" s="7">
        <v>1</v>
      </c>
      <c r="M5">
        <v>4400</v>
      </c>
    </row>
    <row r="6" spans="1:13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  <c r="L6" s="7">
        <v>2</v>
      </c>
      <c r="M6">
        <v>19000</v>
      </c>
    </row>
    <row r="7" spans="1:13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  <c r="L7" s="7">
        <v>3</v>
      </c>
      <c r="M7">
        <v>24900</v>
      </c>
    </row>
    <row r="8" spans="1:13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  <c r="L8" s="7">
        <v>4</v>
      </c>
      <c r="M8">
        <v>6500</v>
      </c>
    </row>
    <row r="9" spans="1:13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  <c r="L9" s="7">
        <v>5</v>
      </c>
      <c r="M9">
        <v>41200</v>
      </c>
    </row>
    <row r="10" spans="1:13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  <c r="L10" s="7">
        <v>6</v>
      </c>
      <c r="M10">
        <v>28800</v>
      </c>
    </row>
    <row r="11" spans="1:13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  <c r="L11" s="7">
        <v>7</v>
      </c>
      <c r="M11">
        <v>10000</v>
      </c>
    </row>
    <row r="12" spans="1:13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  <c r="L12" s="7">
        <v>8</v>
      </c>
      <c r="M12">
        <v>57700</v>
      </c>
    </row>
    <row r="13" spans="1:13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  <c r="L13" s="7">
        <v>9</v>
      </c>
      <c r="M13">
        <v>58000</v>
      </c>
    </row>
    <row r="14" spans="1:13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  <c r="L14" s="7">
        <v>10</v>
      </c>
      <c r="M14">
        <v>51600</v>
      </c>
    </row>
    <row r="15" spans="1:13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  <c r="L15" s="7">
        <v>11</v>
      </c>
      <c r="M15">
        <v>20300</v>
      </c>
    </row>
    <row r="16" spans="1:13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  <c r="L16" s="7" t="s">
        <v>257</v>
      </c>
      <c r="M16">
        <v>322400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5B43-5489-4967-8CC5-14C9463E1FAC}">
  <sheetPr codeName="Sheet5"/>
  <dimension ref="B3:D15"/>
  <sheetViews>
    <sheetView workbookViewId="0">
      <selection activeCell="O9" sqref="O9"/>
    </sheetView>
  </sheetViews>
  <sheetFormatPr defaultRowHeight="14.4" x14ac:dyDescent="0.3"/>
  <cols>
    <col min="2" max="2" width="15.88671875" bestFit="1" customWidth="1"/>
    <col min="3" max="3" width="12" style="8" bestFit="1" customWidth="1"/>
    <col min="4" max="4" width="14.88671875" style="8" bestFit="1" customWidth="1"/>
  </cols>
  <sheetData>
    <row r="3" spans="2:4" x14ac:dyDescent="0.3">
      <c r="B3" s="6" t="s">
        <v>256</v>
      </c>
      <c r="C3" s="8" t="s">
        <v>258</v>
      </c>
      <c r="D3" s="8" t="s">
        <v>259</v>
      </c>
    </row>
    <row r="4" spans="2:4" x14ac:dyDescent="0.3">
      <c r="B4" s="7" t="s">
        <v>173</v>
      </c>
      <c r="C4" s="8">
        <v>20300</v>
      </c>
      <c r="D4" s="8">
        <v>10150</v>
      </c>
    </row>
    <row r="5" spans="2:4" x14ac:dyDescent="0.3">
      <c r="B5" s="7" t="s">
        <v>163</v>
      </c>
      <c r="C5" s="8">
        <v>4400</v>
      </c>
      <c r="D5" s="8">
        <v>4400</v>
      </c>
    </row>
    <row r="6" spans="2:4" x14ac:dyDescent="0.3">
      <c r="B6" s="7" t="s">
        <v>171</v>
      </c>
      <c r="C6" s="8">
        <v>58000</v>
      </c>
      <c r="D6" s="8">
        <v>19333.333333333332</v>
      </c>
    </row>
    <row r="7" spans="2:4" x14ac:dyDescent="0.3">
      <c r="B7" s="7" t="s">
        <v>172</v>
      </c>
      <c r="C7" s="8">
        <v>51600</v>
      </c>
      <c r="D7" s="8">
        <v>8600</v>
      </c>
    </row>
    <row r="8" spans="2:4" x14ac:dyDescent="0.3">
      <c r="B8" s="7" t="s">
        <v>166</v>
      </c>
      <c r="C8" s="8">
        <v>6500</v>
      </c>
      <c r="D8" s="8">
        <v>6500</v>
      </c>
    </row>
    <row r="9" spans="2:4" x14ac:dyDescent="0.3">
      <c r="B9" s="7" t="s">
        <v>168</v>
      </c>
      <c r="C9" s="8">
        <v>28800</v>
      </c>
      <c r="D9" s="8">
        <v>5760</v>
      </c>
    </row>
    <row r="10" spans="2:4" x14ac:dyDescent="0.3">
      <c r="B10" s="7" t="s">
        <v>164</v>
      </c>
      <c r="C10" s="8">
        <v>19000</v>
      </c>
      <c r="D10" s="8">
        <v>9500</v>
      </c>
    </row>
    <row r="11" spans="2:4" x14ac:dyDescent="0.3">
      <c r="B11" s="7" t="s">
        <v>169</v>
      </c>
      <c r="C11" s="8">
        <v>10000</v>
      </c>
      <c r="D11" s="8">
        <v>10000</v>
      </c>
    </row>
    <row r="12" spans="2:4" x14ac:dyDescent="0.3">
      <c r="B12" s="7" t="s">
        <v>165</v>
      </c>
      <c r="C12" s="8">
        <v>24900</v>
      </c>
      <c r="D12" s="8">
        <v>4150</v>
      </c>
    </row>
    <row r="13" spans="2:4" x14ac:dyDescent="0.3">
      <c r="B13" s="7" t="s">
        <v>170</v>
      </c>
      <c r="C13" s="8">
        <v>57700</v>
      </c>
      <c r="D13" s="8">
        <v>9616.6666666666661</v>
      </c>
    </row>
    <row r="14" spans="2:4" x14ac:dyDescent="0.3">
      <c r="B14" s="7" t="s">
        <v>167</v>
      </c>
      <c r="C14" s="8">
        <v>41200</v>
      </c>
      <c r="D14" s="8">
        <v>5885.7142857142853</v>
      </c>
    </row>
    <row r="15" spans="2:4" x14ac:dyDescent="0.3">
      <c r="B15" s="7" t="s">
        <v>257</v>
      </c>
      <c r="C15" s="8">
        <v>322400</v>
      </c>
      <c r="D15" s="8">
        <v>8060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42A40-5C72-4CB1-9C8F-AF4600F5E1AA}">
  <sheetPr codeName="Sheet6"/>
  <dimension ref="A1:J41"/>
  <sheetViews>
    <sheetView topLeftCell="A13" workbookViewId="0">
      <selection activeCell="N34" sqref="N34"/>
    </sheetView>
  </sheetViews>
  <sheetFormatPr defaultRowHeight="14.4" x14ac:dyDescent="0.3"/>
  <cols>
    <col min="1" max="1" width="13.5546875" customWidth="1"/>
    <col min="2" max="2" width="11.6640625" customWidth="1"/>
    <col min="3" max="3" width="11.44140625" customWidth="1"/>
    <col min="4" max="4" width="29.77734375" bestFit="1" customWidth="1"/>
    <col min="5" max="5" width="15.21875" customWidth="1"/>
    <col min="6" max="6" width="10.6640625" customWidth="1"/>
    <col min="7" max="7" width="8" customWidth="1"/>
    <col min="8" max="8" width="7.88671875" customWidth="1"/>
    <col min="9" max="9" width="12.5546875" customWidth="1"/>
    <col min="10" max="10" width="15.218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10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0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0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0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0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0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0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0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0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0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0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0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0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0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EBA04-295C-41F5-8B37-5D4D1BE44B32}">
  <sheetPr codeName="Sheet7" filterMode="1"/>
  <dimension ref="A1:K41"/>
  <sheetViews>
    <sheetView workbookViewId="0">
      <selection activeCell="N47" sqref="N47"/>
    </sheetView>
  </sheetViews>
  <sheetFormatPr defaultRowHeight="14.4" x14ac:dyDescent="0.3"/>
  <cols>
    <col min="1" max="1" width="11.6640625" bestFit="1" customWidth="1"/>
    <col min="2" max="3" width="10.77734375" bestFit="1" customWidth="1"/>
    <col min="4" max="4" width="29.77734375" bestFit="1" customWidth="1"/>
    <col min="5" max="5" width="13.44140625" bestFit="1" customWidth="1"/>
    <col min="6" max="6" width="10.33203125" bestFit="1" customWidth="1"/>
    <col min="7" max="7" width="6.109375" bestFit="1" customWidth="1"/>
    <col min="8" max="8" width="6" bestFit="1" customWidth="1"/>
    <col min="9" max="9" width="10.6640625" bestFit="1" customWidth="1"/>
    <col min="10" max="10" width="13.44140625" bestFit="1" customWidth="1"/>
    <col min="11" max="11" width="16.218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260</v>
      </c>
    </row>
    <row r="2" spans="1:11" hidden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  <c r="K2" t="str" cm="1">
        <f t="array" ref="K2:K41">VLOOKUP(J2:J41,[1]departments!$A$2:$B$12,2,FALSE)</f>
        <v>Executive</v>
      </c>
    </row>
    <row r="3" spans="1:11" hidden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  <c r="K3" t="str">
        <v>Executive</v>
      </c>
    </row>
    <row r="4" spans="1:11" hidden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  <c r="K4" t="str">
        <v>Executive</v>
      </c>
    </row>
    <row r="5" spans="1:11" hidden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  <c r="K5" t="str">
        <v>IT</v>
      </c>
    </row>
    <row r="6" spans="1:11" hidden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  <c r="K6" t="str">
        <v>IT</v>
      </c>
    </row>
    <row r="7" spans="1:11" hidden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  <c r="K7" t="str">
        <v>IT</v>
      </c>
    </row>
    <row r="8" spans="1:11" hidden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  <c r="K8" t="str">
        <v>IT</v>
      </c>
    </row>
    <row r="9" spans="1:11" hidden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  <c r="K9" t="str">
        <v>IT</v>
      </c>
    </row>
    <row r="10" spans="1:11" hidden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  <c r="K10" t="str">
        <v>Finance</v>
      </c>
    </row>
    <row r="11" spans="1:11" hidden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  <c r="K11" t="str">
        <v>Finance</v>
      </c>
    </row>
    <row r="12" spans="1:11" hidden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  <c r="K12" t="str">
        <v>Finance</v>
      </c>
    </row>
    <row r="13" spans="1:11" hidden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  <c r="K13" t="str">
        <v>Finance</v>
      </c>
    </row>
    <row r="14" spans="1:11" hidden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  <c r="K14" t="str">
        <v>Finance</v>
      </c>
    </row>
    <row r="15" spans="1:11" hidden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  <c r="K15" t="str">
        <v>Finance</v>
      </c>
    </row>
    <row r="16" spans="1:11" hidden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  <c r="K16" t="str">
        <v>Purchasing</v>
      </c>
    </row>
    <row r="17" spans="1:11" hidden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  <c r="K17" t="str">
        <v>Purchasing</v>
      </c>
    </row>
    <row r="18" spans="1:11" hidden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  <c r="K18" t="str">
        <v>Purchasing</v>
      </c>
    </row>
    <row r="19" spans="1:11" hidden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  <c r="K19" t="str">
        <v>Purchasing</v>
      </c>
    </row>
    <row r="20" spans="1:11" hidden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  <c r="K20" t="str">
        <v>Purchasing</v>
      </c>
    </row>
    <row r="21" spans="1:11" hidden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  <c r="K21" t="str">
        <v>Purchasing</v>
      </c>
    </row>
    <row r="22" spans="1:11" hidden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  <c r="K22" t="str">
        <v>Shipping</v>
      </c>
    </row>
    <row r="23" spans="1:11" hidden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  <c r="K23" t="str">
        <v>Shipping</v>
      </c>
    </row>
    <row r="24" spans="1:11" hidden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  <c r="K24" t="str">
        <v>Shipping</v>
      </c>
    </row>
    <row r="25" spans="1:11" hidden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  <c r="K25" t="str">
        <v>Shipping</v>
      </c>
    </row>
    <row r="26" spans="1:11" hidden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  <c r="K26" t="str">
        <v>Shipping</v>
      </c>
    </row>
    <row r="27" spans="1:1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  <c r="K27" t="str">
        <v>Sales</v>
      </c>
    </row>
    <row r="28" spans="1:1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  <c r="K28" t="str">
        <v>Sales</v>
      </c>
    </row>
    <row r="29" spans="1:1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  <c r="K29" t="str">
        <v>Sales</v>
      </c>
    </row>
    <row r="30" spans="1:1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  <c r="K30" t="str">
        <v>Sales</v>
      </c>
    </row>
    <row r="31" spans="1:1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  <c r="K31" t="str">
        <v>Sales</v>
      </c>
    </row>
    <row r="32" spans="1:1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  <c r="K32" t="str">
        <v>Sales</v>
      </c>
    </row>
    <row r="33" spans="1:11" hidden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  <c r="K33" t="str">
        <v>Shipping</v>
      </c>
    </row>
    <row r="34" spans="1:11" hidden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  <c r="K34" t="str">
        <v>Shipping</v>
      </c>
    </row>
    <row r="35" spans="1:11" hidden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  <c r="K35" t="str">
        <v>Administration</v>
      </c>
    </row>
    <row r="36" spans="1:11" hidden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  <c r="K36" t="str">
        <v>Marketing</v>
      </c>
    </row>
    <row r="37" spans="1:11" hidden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  <c r="K37" t="str">
        <v>Marketing</v>
      </c>
    </row>
    <row r="38" spans="1:11" hidden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  <c r="K38" t="str">
        <v>Human Resources</v>
      </c>
    </row>
    <row r="39" spans="1:11" hidden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  <c r="K39" t="str">
        <v>Public Relations</v>
      </c>
    </row>
    <row r="40" spans="1:11" hidden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  <c r="K40" t="str">
        <v>Accounting</v>
      </c>
    </row>
    <row r="41" spans="1:11" hidden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  <c r="K41" t="str">
        <v>Accounting</v>
      </c>
    </row>
  </sheetData>
  <autoFilter ref="K1:K41" xr:uid="{137EBA04-295C-41F5-8B37-5D4D1BE44B32}">
    <filterColumn colId="0">
      <filters>
        <filter val="Sales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80DB-6C47-40AC-A0AB-D6AACC52F6E3}">
  <sheetPr codeName="Sheet8"/>
  <dimension ref="A1:O48"/>
  <sheetViews>
    <sheetView tabSelected="1" topLeftCell="A25" workbookViewId="0">
      <selection activeCell="L7" sqref="L7"/>
    </sheetView>
  </sheetViews>
  <sheetFormatPr defaultRowHeight="14.4" x14ac:dyDescent="0.3"/>
  <cols>
    <col min="1" max="1" width="11.6640625" bestFit="1" customWidth="1"/>
    <col min="2" max="3" width="10.77734375" bestFit="1" customWidth="1"/>
    <col min="4" max="4" width="29.77734375" bestFit="1" customWidth="1"/>
    <col min="5" max="5" width="13.44140625" bestFit="1" customWidth="1"/>
    <col min="6" max="6" width="10.33203125" bestFit="1" customWidth="1"/>
    <col min="7" max="7" width="6.109375" bestFit="1" customWidth="1"/>
    <col min="8" max="8" width="6" bestFit="1" customWidth="1"/>
    <col min="9" max="9" width="10.6640625" bestFit="1" customWidth="1"/>
    <col min="10" max="10" width="13.44140625" bestFit="1" customWidth="1"/>
  </cols>
  <sheetData>
    <row r="1" spans="1:1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9"/>
    </row>
    <row r="2" spans="1:15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15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5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5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  <c r="O5" s="9"/>
    </row>
    <row r="6" spans="1:15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5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  <c r="L7" s="9"/>
      <c r="M7" s="9"/>
    </row>
    <row r="8" spans="1:15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  <c r="M8" s="9"/>
      <c r="N8" s="9"/>
    </row>
    <row r="9" spans="1:15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5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5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5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  <c r="O12" s="14"/>
    </row>
    <row r="13" spans="1:15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5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5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5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2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2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2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2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2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2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2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2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2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  <c r="L25" s="9"/>
    </row>
    <row r="26" spans="1:12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2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2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2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2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2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2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3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3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3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3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3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3" x14ac:dyDescent="0.3">
      <c r="A38" s="9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3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3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3" x14ac:dyDescent="0.3">
      <c r="A41" s="13">
        <v>206</v>
      </c>
      <c r="B41" s="14" t="s">
        <v>157</v>
      </c>
      <c r="C41" s="14" t="s">
        <v>158</v>
      </c>
      <c r="D41" s="10" t="s">
        <v>159</v>
      </c>
      <c r="E41" s="14" t="s">
        <v>160</v>
      </c>
      <c r="F41" s="3">
        <v>34492</v>
      </c>
      <c r="G41" s="14">
        <v>1</v>
      </c>
      <c r="H41" s="14">
        <v>8300</v>
      </c>
      <c r="I41" s="14">
        <v>205</v>
      </c>
      <c r="J41" s="14">
        <v>11</v>
      </c>
    </row>
    <row r="42" spans="1:13" x14ac:dyDescent="0.3">
      <c r="A42" s="14"/>
      <c r="F42" s="15"/>
    </row>
    <row r="43" spans="1:13" x14ac:dyDescent="0.3">
      <c r="A43" s="9"/>
    </row>
    <row r="44" spans="1:13" x14ac:dyDescent="0.3">
      <c r="A44" s="9"/>
      <c r="B44" s="14"/>
    </row>
    <row r="47" spans="1:13" x14ac:dyDescent="0.3">
      <c r="A47" s="9"/>
    </row>
    <row r="48" spans="1:13" x14ac:dyDescent="0.3">
      <c r="M48" s="14"/>
    </row>
  </sheetData>
  <hyperlinks>
    <hyperlink ref="D41" r:id="rId1" xr:uid="{276E3D78-2BC1-481A-80B5-1AD0B92CB143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8B178-0A70-422B-8D05-8D6FECA0CFA8}">
  <sheetPr codeName="Sheet9"/>
  <dimension ref="A1:L41"/>
  <sheetViews>
    <sheetView workbookViewId="0">
      <selection activeCell="L12" sqref="L12"/>
    </sheetView>
  </sheetViews>
  <sheetFormatPr defaultRowHeight="14.4" x14ac:dyDescent="0.3"/>
  <cols>
    <col min="1" max="1" width="11.6640625" bestFit="1" customWidth="1"/>
    <col min="2" max="3" width="10.77734375" bestFit="1" customWidth="1"/>
    <col min="4" max="4" width="29.77734375" bestFit="1" customWidth="1"/>
    <col min="5" max="5" width="13.44140625" bestFit="1" customWidth="1"/>
    <col min="6" max="6" width="10.33203125" bestFit="1" customWidth="1"/>
    <col min="7" max="7" width="6.109375" bestFit="1" customWidth="1"/>
    <col min="8" max="8" width="6" bestFit="1" customWidth="1"/>
    <col min="9" max="9" width="10.6640625" bestFit="1" customWidth="1"/>
    <col min="10" max="10" width="13.44140625" bestFit="1" customWidth="1"/>
    <col min="11" max="11" width="12.77734375" bestFit="1" customWidth="1"/>
    <col min="12" max="12" width="37.7773437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5"/>
    </row>
    <row r="2" spans="1:12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12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2" ht="18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  <c r="L4" s="11" t="s">
        <v>261</v>
      </c>
    </row>
    <row r="5" spans="1:12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  <c r="L5">
        <f>AVERAGE(salary)</f>
        <v>8060</v>
      </c>
    </row>
    <row r="6" spans="1:12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2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2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2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2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2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2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2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2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2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2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666D9-D51C-49FC-B01A-1DB98F0A89D5}">
  <sheetPr codeName="Sheet10"/>
  <dimension ref="A1:K41"/>
  <sheetViews>
    <sheetView workbookViewId="0">
      <selection activeCell="M11" sqref="M11"/>
    </sheetView>
  </sheetViews>
  <sheetFormatPr defaultRowHeight="14.4" x14ac:dyDescent="0.3"/>
  <cols>
    <col min="1" max="1" width="11.6640625" bestFit="1" customWidth="1"/>
    <col min="2" max="3" width="10.77734375" bestFit="1" customWidth="1"/>
    <col min="4" max="4" width="29.77734375" bestFit="1" customWidth="1"/>
    <col min="5" max="5" width="13.44140625" bestFit="1" customWidth="1"/>
    <col min="6" max="6" width="10.33203125" bestFit="1" customWidth="1"/>
    <col min="7" max="7" width="6.109375" bestFit="1" customWidth="1"/>
    <col min="8" max="8" width="6" bestFit="1" customWidth="1"/>
    <col min="9" max="9" width="10.6640625" bestFit="1" customWidth="1"/>
    <col min="10" max="10" width="13.44140625" bestFit="1" customWidth="1"/>
    <col min="11" max="11" width="16.3320312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262</v>
      </c>
    </row>
    <row r="2" spans="1:1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12">
        <v>24000</v>
      </c>
      <c r="J2" s="2">
        <v>9</v>
      </c>
      <c r="K2" t="str" cm="1">
        <f t="array" ref="K2:K41">VLOOKUP(J2:J41,[1]departments!$A$2:$B$12,2,FALSE)</f>
        <v>Executive</v>
      </c>
    </row>
    <row r="3" spans="1:1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  <c r="K3" t="str">
        <v>Executive</v>
      </c>
    </row>
    <row r="4" spans="1:1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  <c r="K4" t="str">
        <v>Executive</v>
      </c>
    </row>
    <row r="5" spans="1:1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12">
        <v>9000</v>
      </c>
      <c r="I5" s="2">
        <v>102</v>
      </c>
      <c r="J5" s="2">
        <v>6</v>
      </c>
      <c r="K5" t="str">
        <v>IT</v>
      </c>
    </row>
    <row r="6" spans="1:1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  <c r="K6" t="str">
        <v>IT</v>
      </c>
    </row>
    <row r="7" spans="1:1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  <c r="K7" t="str">
        <v>IT</v>
      </c>
    </row>
    <row r="8" spans="1:1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  <c r="K8" t="str">
        <v>IT</v>
      </c>
    </row>
    <row r="9" spans="1:1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  <c r="K9" t="str">
        <v>IT</v>
      </c>
    </row>
    <row r="10" spans="1:1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  <c r="K10" t="str">
        <v>Finance</v>
      </c>
    </row>
    <row r="11" spans="1:1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  <c r="K11" t="str">
        <v>Finance</v>
      </c>
    </row>
    <row r="12" spans="1:1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  <c r="K12" t="str">
        <v>Finance</v>
      </c>
    </row>
    <row r="13" spans="1:1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  <c r="K13" t="str">
        <v>Finance</v>
      </c>
    </row>
    <row r="14" spans="1:1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  <c r="K14" t="str">
        <v>Finance</v>
      </c>
    </row>
    <row r="15" spans="1:1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  <c r="K15" t="str">
        <v>Finance</v>
      </c>
    </row>
    <row r="16" spans="1:1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  <c r="K16" t="str">
        <v>Purchasing</v>
      </c>
    </row>
    <row r="17" spans="1:1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  <c r="K17" t="str">
        <v>Purchasing</v>
      </c>
    </row>
    <row r="18" spans="1:1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  <c r="K18" t="str">
        <v>Purchasing</v>
      </c>
    </row>
    <row r="19" spans="1:1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  <c r="K19" t="str">
        <v>Purchasing</v>
      </c>
    </row>
    <row r="20" spans="1:1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  <c r="K20" t="str">
        <v>Purchasing</v>
      </c>
    </row>
    <row r="21" spans="1:1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  <c r="K21" t="str">
        <v>Purchasing</v>
      </c>
    </row>
    <row r="22" spans="1:1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  <c r="K22" t="str">
        <v>Shipping</v>
      </c>
    </row>
    <row r="23" spans="1:1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  <c r="K23" t="str">
        <v>Shipping</v>
      </c>
    </row>
    <row r="24" spans="1:1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  <c r="K24" t="str">
        <v>Shipping</v>
      </c>
    </row>
    <row r="25" spans="1:1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  <c r="K25" t="str">
        <v>Shipping</v>
      </c>
    </row>
    <row r="26" spans="1:1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  <c r="K26" t="str">
        <v>Shipping</v>
      </c>
    </row>
    <row r="27" spans="1:1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  <c r="K27" t="str">
        <v>Sales</v>
      </c>
    </row>
    <row r="28" spans="1:1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  <c r="K28" t="str">
        <v>Sales</v>
      </c>
    </row>
    <row r="29" spans="1:1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  <c r="K29" t="str">
        <v>Sales</v>
      </c>
    </row>
    <row r="30" spans="1:1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  <c r="K30" t="str">
        <v>Sales</v>
      </c>
    </row>
    <row r="31" spans="1:1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  <c r="K31" t="str">
        <v>Sales</v>
      </c>
    </row>
    <row r="32" spans="1:1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  <c r="K32" t="str">
        <v>Sales</v>
      </c>
    </row>
    <row r="33" spans="1:1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  <c r="K33" t="str">
        <v>Shipping</v>
      </c>
    </row>
    <row r="34" spans="1:1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  <c r="K34" t="str">
        <v>Shipping</v>
      </c>
    </row>
    <row r="35" spans="1:1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  <c r="K35" t="str">
        <v>Administration</v>
      </c>
    </row>
    <row r="36" spans="1:1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  <c r="K36" t="str">
        <v>Marketing</v>
      </c>
    </row>
    <row r="37" spans="1:1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  <c r="K37" t="str">
        <v>Marketing</v>
      </c>
    </row>
    <row r="38" spans="1:1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  <c r="K38" t="str">
        <v>Human Resources</v>
      </c>
    </row>
    <row r="39" spans="1:1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  <c r="K39" t="str">
        <v>Public Relations</v>
      </c>
    </row>
    <row r="40" spans="1:1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  <c r="K40" t="str">
        <v>Accounting</v>
      </c>
    </row>
    <row r="41" spans="1:1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  <c r="K41" t="str">
        <v>Accounting</v>
      </c>
    </row>
  </sheetData>
  <conditionalFormatting sqref="H2:H41">
    <cfRule type="expression" dxfId="0" priority="1">
      <formula>H2=MAX(IF($K$2:$K$100=K2,$H$2:$H$100))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222473C3-7B5E-4795-AC49-1D64876EF5D4}">
  <ds:schemaRefs/>
</ds:datastoreItem>
</file>

<file path=customXml/itemProps2.xml><?xml version="1.0" encoding="utf-8"?>
<ds:datastoreItem xmlns:ds="http://schemas.openxmlformats.org/officeDocument/2006/customXml" ds:itemID="{0A03DB3B-6B3E-447E-ACCA-4B8E30728B0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1CBC0275-1882-4CE1-A291-8A2E1CDAB3C4}">
  <ds:schemaRefs/>
</ds:datastoreItem>
</file>

<file path=customXml/itemProps4.xml><?xml version="1.0" encoding="utf-8"?>
<ds:datastoreItem xmlns:ds="http://schemas.openxmlformats.org/officeDocument/2006/customXml" ds:itemID="{B7FD3AB8-E6D5-4B97-99BE-282E9E19CC4F}">
  <ds:schemaRefs/>
</ds:datastoreItem>
</file>

<file path=customXml/itemProps5.xml><?xml version="1.0" encoding="utf-8"?>
<ds:datastoreItem xmlns:ds="http://schemas.openxmlformats.org/officeDocument/2006/customXml" ds:itemID="{6AFE8F64-5E96-4795-84B8-300A96D65225}">
  <ds:schemaRefs/>
</ds:datastoreItem>
</file>

<file path=customXml/itemProps6.xml><?xml version="1.0" encoding="utf-8"?>
<ds:datastoreItem xmlns:ds="http://schemas.openxmlformats.org/officeDocument/2006/customXml" ds:itemID="{D03345D1-06CE-4085-A9F3-BAC76F4DA92D}">
  <ds:schemaRefs/>
</ds:datastoreItem>
</file>

<file path=customXml/itemProps7.xml><?xml version="1.0" encoding="utf-8"?>
<ds:datastoreItem xmlns:ds="http://schemas.openxmlformats.org/officeDocument/2006/customXml" ds:itemID="{693E08D2-7CB4-42EE-B664-A023FD19E053}">
  <ds:schemaRefs/>
</ds:datastoreItem>
</file>

<file path=customXml/itemProps8.xml><?xml version="1.0" encoding="utf-8"?>
<ds:datastoreItem xmlns:ds="http://schemas.openxmlformats.org/officeDocument/2006/customXml" ds:itemID="{FEC876AF-213F-43F3-A4A5-A9ADA9ECFDD2}">
  <ds:schemaRefs>
    <ds:schemaRef ds:uri="http://www.w3.org/2001/XMLSchema"/>
    <ds:schemaRef ds:uri="http://microsoft.data.visualization.Client.Excel/1.0"/>
  </ds:schemaRefs>
</ds:datastoreItem>
</file>

<file path=customXml/itemProps9.xml><?xml version="1.0" encoding="utf-8"?>
<ds:datastoreItem xmlns:ds="http://schemas.openxmlformats.org/officeDocument/2006/customXml" ds:itemID="{6E68D08E-0103-4871-87E0-7E893EB5BA2C}">
  <ds:schemaRefs/>
</ds:datastoreItem>
</file>

<file path=customXml/itemProps10.xml><?xml version="1.0" encoding="utf-8"?>
<ds:datastoreItem xmlns:ds="http://schemas.openxmlformats.org/officeDocument/2006/customXml" ds:itemID="{C487F3CF-9E9D-4A09-916E-778959F647FB}">
  <ds:schemaRefs/>
</ds:datastoreItem>
</file>

<file path=customXml/itemProps11.xml><?xml version="1.0" encoding="utf-8"?>
<ds:datastoreItem xmlns:ds="http://schemas.openxmlformats.org/officeDocument/2006/customXml" ds:itemID="{7F957286-8F17-4E9E-AE53-1A194B947ADE}">
  <ds:schemaRefs/>
</ds:datastoreItem>
</file>

<file path=customXml/itemProps12.xml><?xml version="1.0" encoding="utf-8"?>
<ds:datastoreItem xmlns:ds="http://schemas.openxmlformats.org/officeDocument/2006/customXml" ds:itemID="{3B754DFC-857E-4E48-90A9-3DA5F1C4CA8E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356AFA8E-2DCE-48F4-A63F-B66A52572296}">
  <ds:schemaRefs/>
</ds:datastoreItem>
</file>

<file path=customXml/itemProps14.xml><?xml version="1.0" encoding="utf-8"?>
<ds:datastoreItem xmlns:ds="http://schemas.openxmlformats.org/officeDocument/2006/customXml" ds:itemID="{34561A7B-7851-4F4A-A1AC-A1F4CE725F9E}">
  <ds:schemaRefs/>
</ds:datastoreItem>
</file>

<file path=customXml/itemProps15.xml><?xml version="1.0" encoding="utf-8"?>
<ds:datastoreItem xmlns:ds="http://schemas.openxmlformats.org/officeDocument/2006/customXml" ds:itemID="{379C8F0D-9BD7-439A-A82C-6A8D785E44CF}">
  <ds:schemaRefs/>
</ds:datastoreItem>
</file>

<file path=customXml/itemProps16.xml><?xml version="1.0" encoding="utf-8"?>
<ds:datastoreItem xmlns:ds="http://schemas.openxmlformats.org/officeDocument/2006/customXml" ds:itemID="{4510B3BC-DD90-4533-BBBA-F6CABD28380D}">
  <ds:schemaRefs/>
</ds:datastoreItem>
</file>

<file path=customXml/itemProps17.xml><?xml version="1.0" encoding="utf-8"?>
<ds:datastoreItem xmlns:ds="http://schemas.openxmlformats.org/officeDocument/2006/customXml" ds:itemID="{CDA24757-CA40-4966-BDA1-5FEE2BC209AD}">
  <ds:schemaRefs/>
</ds:datastoreItem>
</file>

<file path=customXml/itemProps18.xml><?xml version="1.0" encoding="utf-8"?>
<ds:datastoreItem xmlns:ds="http://schemas.openxmlformats.org/officeDocument/2006/customXml" ds:itemID="{D4BA89C9-6C50-43E2-93B0-8AD3D248777C}">
  <ds:schemaRefs/>
</ds:datastoreItem>
</file>

<file path=customXml/itemProps19.xml><?xml version="1.0" encoding="utf-8"?>
<ds:datastoreItem xmlns:ds="http://schemas.openxmlformats.org/officeDocument/2006/customXml" ds:itemID="{B5F1E8AB-A6AE-47AB-95A5-6C6136EDCE39}">
  <ds:schemaRefs/>
</ds:datastoreItem>
</file>

<file path=customXml/itemProps20.xml><?xml version="1.0" encoding="utf-8"?>
<ds:datastoreItem xmlns:ds="http://schemas.openxmlformats.org/officeDocument/2006/customXml" ds:itemID="{BA605433-8B3F-4822-AB83-F4DC443A0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1.conditional format</vt:lpstr>
      <vt:lpstr>2.data validation</vt:lpstr>
      <vt:lpstr>3.power query</vt:lpstr>
      <vt:lpstr>4.data model</vt:lpstr>
      <vt:lpstr>5.total and avg salary</vt:lpstr>
      <vt:lpstr>6.data table</vt:lpstr>
      <vt:lpstr>7.sales department</vt:lpstr>
      <vt:lpstr>8.macro</vt:lpstr>
      <vt:lpstr>9.named range</vt:lpstr>
      <vt:lpstr>10.CONDITIONAL FORMAT </vt:lpstr>
      <vt:lpstr>salary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karan chaudhary</cp:lastModifiedBy>
  <dcterms:created xsi:type="dcterms:W3CDTF">2024-06-26T08:39:02Z</dcterms:created>
  <dcterms:modified xsi:type="dcterms:W3CDTF">2025-04-30T03:06:48Z</dcterms:modified>
</cp:coreProperties>
</file>